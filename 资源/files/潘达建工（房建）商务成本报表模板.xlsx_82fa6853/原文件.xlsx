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angsData\1\DC\Business\Accounts-四川\中信国安建工\林总案例经验\1商务成本报表（核心案例）\系统真实数据\"/>
    </mc:Choice>
  </mc:AlternateContent>
  <xr:revisionPtr revIDLastSave="0" documentId="13_ncr:1_{68E225B3-A1D9-4747-856F-C5856773E3B3}" xr6:coauthVersionLast="47" xr6:coauthVersionMax="47" xr10:uidLastSave="{00000000-0000-0000-0000-000000000000}"/>
  <bookViews>
    <workbookView xWindow="-93" yWindow="-93" windowWidth="25786" windowHeight="13866" tabRatio="836" xr2:uid="{00000000-000D-0000-FFFF-FFFF00000000}"/>
  </bookViews>
  <sheets>
    <sheet name="封面" sheetId="2" r:id="rId1"/>
    <sheet name="目录" sheetId="3" r:id="rId2"/>
    <sheet name="编制说明" sheetId="4" r:id="rId3"/>
    <sheet name="项目月度资金预算批复单-表1" sheetId="5" r:id="rId4"/>
    <sheet name="项目月度商务管理分析表-表2" sheetId="6" r:id="rId5"/>
    <sheet name="项目月度商务管理汇总表-表3" sheetId="7" r:id="rId6"/>
    <sheet name="项目月度业主产值表-表3.1" sheetId="8" r:id="rId7"/>
    <sheet name="项目月度业主待确产值分析表-表3.1.1" sheetId="9" r:id="rId8"/>
    <sheet name="项目月度完全成本、付款明细表-表3.2" sheetId="10" r:id="rId9"/>
    <sheet name="项目月度待确成本分析表-表3.2.1" sheetId="11" r:id="rId10"/>
    <sheet name="项目收支汇总表" sheetId="12" r:id="rId11"/>
  </sheets>
  <definedNames>
    <definedName name="_Fill" localSheetId="1">#REF!</definedName>
    <definedName name="_Fill" localSheetId="8">#REF!</definedName>
    <definedName name="_Fill">#REF!</definedName>
    <definedName name="_xlnm._FilterDatabase" localSheetId="8">'项目月度完全成本、付款明细表-表3.2'!$A$7:$AQ$65</definedName>
    <definedName name="_Order1">255</definedName>
    <definedName name="XLRPARAMS_GCMC" localSheetId="1">#REF!</definedName>
    <definedName name="XLRPARAMS_GCMC" localSheetId="8">#REF!</definedName>
    <definedName name="XLRPARAMS_GCMC">#REF!</definedName>
  </definedNames>
  <calcPr calcId="191029"/>
</workbook>
</file>

<file path=xl/calcChain.xml><?xml version="1.0" encoding="utf-8"?>
<calcChain xmlns="http://schemas.openxmlformats.org/spreadsheetml/2006/main">
  <c r="E111" i="12" l="1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D97" i="12"/>
  <c r="E97" i="12" s="1"/>
  <c r="C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D79" i="12"/>
  <c r="C79" i="12"/>
  <c r="E79" i="12" s="1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D55" i="12"/>
  <c r="E55" i="12" s="1"/>
  <c r="D54" i="12"/>
  <c r="E54" i="12" s="1"/>
  <c r="C54" i="12"/>
  <c r="E53" i="12"/>
  <c r="E52" i="12"/>
  <c r="E51" i="12"/>
  <c r="D50" i="12"/>
  <c r="D49" i="12" s="1"/>
  <c r="C50" i="12"/>
  <c r="C49" i="12" s="1"/>
  <c r="E49" i="12" s="1"/>
  <c r="C47" i="12"/>
  <c r="C44" i="12" s="1"/>
  <c r="C39" i="12"/>
  <c r="C34" i="12"/>
  <c r="C31" i="12"/>
  <c r="C26" i="12"/>
  <c r="C9" i="12" s="1"/>
  <c r="C21" i="12"/>
  <c r="C5" i="12"/>
  <c r="B8" i="9"/>
  <c r="B7" i="9"/>
  <c r="B6" i="9"/>
  <c r="B5" i="9"/>
  <c r="T6" i="8"/>
  <c r="N6" i="8"/>
  <c r="O6" i="8" s="1"/>
  <c r="L6" i="8"/>
  <c r="G6" i="8"/>
  <c r="F6" i="8"/>
  <c r="DJ7" i="7"/>
  <c r="DI7" i="7"/>
  <c r="DH7" i="7"/>
  <c r="CX7" i="7"/>
  <c r="CH7" i="7"/>
  <c r="CF7" i="7"/>
  <c r="CE7" i="7"/>
  <c r="CD7" i="7"/>
  <c r="CG7" i="7" s="1"/>
  <c r="CB7" i="7"/>
  <c r="CA7" i="7"/>
  <c r="BZ7" i="7"/>
  <c r="BX7" i="7"/>
  <c r="BW7" i="7"/>
  <c r="BV7" i="7"/>
  <c r="BT7" i="7"/>
  <c r="BS7" i="7"/>
  <c r="BR7" i="7"/>
  <c r="BQ7" i="7"/>
  <c r="BU7" i="7" s="1"/>
  <c r="BP7" i="7"/>
  <c r="BO7" i="7"/>
  <c r="BN7" i="7"/>
  <c r="AH7" i="7"/>
  <c r="AG7" i="7"/>
  <c r="AF7" i="7"/>
  <c r="AE7" i="7"/>
  <c r="AC7" i="7"/>
  <c r="AB7" i="7"/>
  <c r="Y7" i="7"/>
  <c r="X7" i="7"/>
  <c r="W7" i="7"/>
  <c r="V7" i="7"/>
  <c r="F7" i="7"/>
  <c r="D46" i="6"/>
  <c r="D41" i="6"/>
  <c r="D13" i="6"/>
  <c r="J10" i="6"/>
  <c r="D42" i="6" s="1"/>
  <c r="D9" i="6"/>
  <c r="D8" i="6"/>
  <c r="D26" i="5"/>
  <c r="B26" i="5"/>
  <c r="A26" i="5"/>
  <c r="D25" i="5"/>
  <c r="B25" i="5"/>
  <c r="A25" i="5"/>
  <c r="D24" i="5"/>
  <c r="B24" i="5"/>
  <c r="A24" i="5"/>
  <c r="D23" i="5"/>
  <c r="B23" i="5"/>
  <c r="D22" i="5"/>
  <c r="B22" i="5"/>
  <c r="A22" i="5"/>
  <c r="D21" i="5"/>
  <c r="B21" i="5"/>
  <c r="A21" i="5"/>
  <c r="D20" i="5"/>
  <c r="B20" i="5"/>
  <c r="A20" i="5"/>
  <c r="B16" i="5"/>
  <c r="B15" i="5"/>
  <c r="F10" i="5"/>
  <c r="D10" i="5"/>
  <c r="B10" i="5"/>
  <c r="F9" i="5"/>
  <c r="F7" i="5"/>
  <c r="D7" i="5"/>
  <c r="B7" i="5"/>
  <c r="F3" i="5"/>
  <c r="B3" i="5"/>
  <c r="X80" i="10"/>
  <c r="DE7" i="7" s="1"/>
  <c r="X79" i="10"/>
  <c r="DC7" i="7" s="1"/>
  <c r="X78" i="10"/>
  <c r="DB7" i="7" s="1"/>
  <c r="X77" i="10"/>
  <c r="DA7" i="7" s="1"/>
  <c r="AL76" i="10"/>
  <c r="AK76" i="10"/>
  <c r="AK70" i="10" s="1"/>
  <c r="AI76" i="10"/>
  <c r="AG76" i="10"/>
  <c r="AA76" i="10"/>
  <c r="X76" i="10"/>
  <c r="W76" i="10"/>
  <c r="V76" i="10"/>
  <c r="X75" i="10"/>
  <c r="CY7" i="7" s="1"/>
  <c r="X73" i="10"/>
  <c r="CW7" i="7" s="1"/>
  <c r="X72" i="10"/>
  <c r="AL71" i="10"/>
  <c r="AK71" i="10"/>
  <c r="AI71" i="10"/>
  <c r="AI70" i="10" s="1"/>
  <c r="DO7" i="7" s="1"/>
  <c r="F12" i="5" s="1"/>
  <c r="AG71" i="10"/>
  <c r="AG70" i="10" s="1"/>
  <c r="DL7" i="7" s="1"/>
  <c r="F11" i="5" s="1"/>
  <c r="AA71" i="10"/>
  <c r="W71" i="10"/>
  <c r="W70" i="10" s="1"/>
  <c r="V71" i="10"/>
  <c r="V70" i="10" s="1"/>
  <c r="AL70" i="10"/>
  <c r="AA70" i="10"/>
  <c r="AC68" i="10"/>
  <c r="AB68" i="10"/>
  <c r="AD68" i="10" s="1"/>
  <c r="V68" i="10"/>
  <c r="Z68" i="10" s="1"/>
  <c r="T68" i="10"/>
  <c r="N68" i="10"/>
  <c r="AJ68" i="10" s="1"/>
  <c r="AC67" i="10"/>
  <c r="V67" i="10"/>
  <c r="Z67" i="10" s="1"/>
  <c r="T67" i="10"/>
  <c r="N67" i="10"/>
  <c r="X66" i="10"/>
  <c r="V66" i="10"/>
  <c r="Z66" i="10" s="1"/>
  <c r="T66" i="10"/>
  <c r="AC65" i="10"/>
  <c r="X65" i="10"/>
  <c r="T65" i="10"/>
  <c r="AJ64" i="10"/>
  <c r="AC64" i="10"/>
  <c r="AB64" i="10"/>
  <c r="AD64" i="10" s="1"/>
  <c r="X64" i="10"/>
  <c r="Y64" i="10" s="1"/>
  <c r="V64" i="10"/>
  <c r="Z64" i="10" s="1"/>
  <c r="U64" i="10"/>
  <c r="T64" i="10"/>
  <c r="N64" i="10"/>
  <c r="P64" i="10" s="1"/>
  <c r="X63" i="10"/>
  <c r="T63" i="10"/>
  <c r="X62" i="10"/>
  <c r="T62" i="10"/>
  <c r="N62" i="10"/>
  <c r="AH62" i="10" s="1"/>
  <c r="AL61" i="10"/>
  <c r="AK61" i="10"/>
  <c r="AI61" i="10"/>
  <c r="AG61" i="10"/>
  <c r="AA61" i="10"/>
  <c r="W61" i="10"/>
  <c r="T61" i="10"/>
  <c r="S61" i="10"/>
  <c r="R61" i="10"/>
  <c r="Q61" i="10"/>
  <c r="AJ60" i="10"/>
  <c r="AH60" i="10"/>
  <c r="AD60" i="10"/>
  <c r="AC60" i="10"/>
  <c r="AB60" i="10"/>
  <c r="Z60" i="10"/>
  <c r="Y60" i="10"/>
  <c r="V60" i="10"/>
  <c r="T60" i="10"/>
  <c r="P60" i="10"/>
  <c r="U60" i="10" s="1"/>
  <c r="N60" i="10"/>
  <c r="AC59" i="10"/>
  <c r="Z59" i="10"/>
  <c r="Y59" i="10"/>
  <c r="X59" i="10"/>
  <c r="V59" i="10"/>
  <c r="T59" i="10"/>
  <c r="N59" i="10"/>
  <c r="P59" i="10" s="1"/>
  <c r="AC58" i="10"/>
  <c r="X58" i="10"/>
  <c r="V58" i="10" s="1"/>
  <c r="T58" i="10"/>
  <c r="AL57" i="10"/>
  <c r="AK57" i="10"/>
  <c r="AI57" i="10"/>
  <c r="AG57" i="10"/>
  <c r="AC57" i="10"/>
  <c r="AA57" i="10"/>
  <c r="W57" i="10"/>
  <c r="S57" i="10"/>
  <c r="R57" i="10"/>
  <c r="T57" i="10" s="1"/>
  <c r="Q57" i="10"/>
  <c r="O57" i="10"/>
  <c r="AJ56" i="10"/>
  <c r="AC56" i="10"/>
  <c r="AB56" i="10"/>
  <c r="Z56" i="10"/>
  <c r="V56" i="10"/>
  <c r="T56" i="10"/>
  <c r="N56" i="10"/>
  <c r="AJ55" i="10"/>
  <c r="AH55" i="10"/>
  <c r="AC55" i="10"/>
  <c r="AB55" i="10"/>
  <c r="AD55" i="10" s="1"/>
  <c r="V55" i="10"/>
  <c r="Z55" i="10" s="1"/>
  <c r="T55" i="10"/>
  <c r="N55" i="10"/>
  <c r="AJ54" i="10"/>
  <c r="AC54" i="10"/>
  <c r="AB54" i="10"/>
  <c r="Z54" i="10"/>
  <c r="V54" i="10"/>
  <c r="T54" i="10"/>
  <c r="N54" i="10"/>
  <c r="AC53" i="10"/>
  <c r="X53" i="10"/>
  <c r="V53" i="10" s="1"/>
  <c r="Z53" i="10" s="1"/>
  <c r="T53" i="10"/>
  <c r="AC52" i="10"/>
  <c r="AB52" i="10"/>
  <c r="AD52" i="10" s="1"/>
  <c r="Y52" i="10"/>
  <c r="V52" i="10"/>
  <c r="Z52" i="10" s="1"/>
  <c r="T52" i="10"/>
  <c r="P52" i="10"/>
  <c r="N52" i="10"/>
  <c r="AC51" i="10"/>
  <c r="X51" i="10"/>
  <c r="V51" i="10" s="1"/>
  <c r="Z51" i="10" s="1"/>
  <c r="T51" i="10"/>
  <c r="AH50" i="10"/>
  <c r="AD50" i="10"/>
  <c r="AC50" i="10"/>
  <c r="Y50" i="10"/>
  <c r="X50" i="10"/>
  <c r="N50" i="10" s="1"/>
  <c r="AB50" i="10" s="1"/>
  <c r="U50" i="10"/>
  <c r="T50" i="10"/>
  <c r="P50" i="10"/>
  <c r="AJ49" i="10"/>
  <c r="AH49" i="10"/>
  <c r="AC49" i="10"/>
  <c r="Y49" i="10"/>
  <c r="X49" i="10"/>
  <c r="V49" i="10"/>
  <c r="Z49" i="10" s="1"/>
  <c r="U49" i="10"/>
  <c r="T49" i="10"/>
  <c r="N49" i="10"/>
  <c r="P49" i="10" s="1"/>
  <c r="AC48" i="10"/>
  <c r="X48" i="10"/>
  <c r="T48" i="10"/>
  <c r="AC47" i="10"/>
  <c r="X47" i="10"/>
  <c r="AJ47" i="10" s="1"/>
  <c r="V47" i="10"/>
  <c r="Z47" i="10" s="1"/>
  <c r="T47" i="10"/>
  <c r="N47" i="10"/>
  <c r="AC46" i="10"/>
  <c r="X46" i="10"/>
  <c r="T46" i="10"/>
  <c r="AC45" i="10"/>
  <c r="Y45" i="10"/>
  <c r="X45" i="10"/>
  <c r="V45" i="10"/>
  <c r="Z45" i="10" s="1"/>
  <c r="T45" i="10"/>
  <c r="N45" i="10"/>
  <c r="P45" i="10" s="1"/>
  <c r="AC44" i="10"/>
  <c r="AB44" i="10"/>
  <c r="X44" i="10"/>
  <c r="V44" i="10" s="1"/>
  <c r="Z44" i="10" s="1"/>
  <c r="T44" i="10"/>
  <c r="N44" i="10"/>
  <c r="AC43" i="10"/>
  <c r="X43" i="10"/>
  <c r="V43" i="10" s="1"/>
  <c r="Z43" i="10" s="1"/>
  <c r="T43" i="10"/>
  <c r="AC42" i="10"/>
  <c r="X42" i="10"/>
  <c r="T42" i="10"/>
  <c r="AJ41" i="10"/>
  <c r="AH41" i="10"/>
  <c r="AC41" i="10"/>
  <c r="AB41" i="10"/>
  <c r="AD41" i="10" s="1"/>
  <c r="Z41" i="10"/>
  <c r="Y41" i="10"/>
  <c r="X41" i="10"/>
  <c r="V41" i="10"/>
  <c r="U41" i="10"/>
  <c r="T41" i="10"/>
  <c r="N41" i="10"/>
  <c r="P41" i="10" s="1"/>
  <c r="AC40" i="10"/>
  <c r="X40" i="10"/>
  <c r="T40" i="10"/>
  <c r="AC39" i="10"/>
  <c r="X39" i="10"/>
  <c r="T39" i="10"/>
  <c r="AC38" i="10"/>
  <c r="X38" i="10"/>
  <c r="T38" i="10"/>
  <c r="AC37" i="10"/>
  <c r="X37" i="10"/>
  <c r="V37" i="10"/>
  <c r="Z37" i="10" s="1"/>
  <c r="T37" i="10"/>
  <c r="N37" i="10"/>
  <c r="AC36" i="10"/>
  <c r="X36" i="10"/>
  <c r="T36" i="10"/>
  <c r="AC35" i="10"/>
  <c r="X35" i="10"/>
  <c r="V35" i="10"/>
  <c r="Z35" i="10" s="1"/>
  <c r="T35" i="10"/>
  <c r="N35" i="10"/>
  <c r="AB35" i="10" s="1"/>
  <c r="AD35" i="10" s="1"/>
  <c r="AL34" i="10"/>
  <c r="AL30" i="10" s="1"/>
  <c r="AK34" i="10"/>
  <c r="AI34" i="10"/>
  <c r="AG34" i="10"/>
  <c r="AA34" i="10"/>
  <c r="W34" i="10"/>
  <c r="S34" i="10"/>
  <c r="S30" i="10" s="1"/>
  <c r="R34" i="10"/>
  <c r="T34" i="10" s="1"/>
  <c r="Q34" i="10"/>
  <c r="O34" i="10"/>
  <c r="AC34" i="10" s="1"/>
  <c r="AC33" i="10"/>
  <c r="X33" i="10"/>
  <c r="T33" i="10"/>
  <c r="N33" i="10"/>
  <c r="AC32" i="10"/>
  <c r="X32" i="10"/>
  <c r="T32" i="10"/>
  <c r="AL31" i="10"/>
  <c r="AK31" i="10"/>
  <c r="AK30" i="10" s="1"/>
  <c r="AI31" i="10"/>
  <c r="AG31" i="10"/>
  <c r="AG30" i="10" s="1"/>
  <c r="AA31" i="10"/>
  <c r="AA30" i="10" s="1"/>
  <c r="X31" i="10"/>
  <c r="W31" i="10"/>
  <c r="W30" i="10" s="1"/>
  <c r="S31" i="10"/>
  <c r="R31" i="10"/>
  <c r="Q31" i="10"/>
  <c r="O31" i="10"/>
  <c r="AI30" i="10"/>
  <c r="Q30" i="10"/>
  <c r="AJ29" i="10"/>
  <c r="AH29" i="10"/>
  <c r="AD29" i="10"/>
  <c r="AC29" i="10"/>
  <c r="AB29" i="10"/>
  <c r="AA29" i="10"/>
  <c r="Y29" i="10"/>
  <c r="V29" i="10"/>
  <c r="Z29" i="10" s="1"/>
  <c r="T29" i="10"/>
  <c r="P29" i="10"/>
  <c r="U29" i="10" s="1"/>
  <c r="AC28" i="10"/>
  <c r="X28" i="10"/>
  <c r="T28" i="10"/>
  <c r="AJ27" i="10"/>
  <c r="AH27" i="10"/>
  <c r="AD27" i="10"/>
  <c r="AC27" i="10"/>
  <c r="AB27" i="10"/>
  <c r="AA27" i="10"/>
  <c r="Y27" i="10"/>
  <c r="V27" i="10"/>
  <c r="U27" i="10"/>
  <c r="T27" i="10"/>
  <c r="P27" i="10"/>
  <c r="AN26" i="10"/>
  <c r="AL26" i="10"/>
  <c r="AK26" i="10"/>
  <c r="AI26" i="10"/>
  <c r="AG26" i="10"/>
  <c r="AC26" i="10"/>
  <c r="W26" i="10"/>
  <c r="T26" i="10"/>
  <c r="S26" i="10"/>
  <c r="R26" i="10"/>
  <c r="Q26" i="10"/>
  <c r="O26" i="10"/>
  <c r="J26" i="10"/>
  <c r="AJ25" i="10"/>
  <c r="AH25" i="10"/>
  <c r="AC25" i="10"/>
  <c r="AB25" i="10"/>
  <c r="AD25" i="10" s="1"/>
  <c r="AA25" i="10"/>
  <c r="Y25" i="10"/>
  <c r="V25" i="10"/>
  <c r="Z25" i="10" s="1"/>
  <c r="U25" i="10"/>
  <c r="T25" i="10"/>
  <c r="P25" i="10"/>
  <c r="AJ24" i="10"/>
  <c r="AH24" i="10"/>
  <c r="AC24" i="10"/>
  <c r="AB24" i="10"/>
  <c r="AD24" i="10" s="1"/>
  <c r="AA24" i="10"/>
  <c r="Z24" i="10"/>
  <c r="Y24" i="10"/>
  <c r="V24" i="10"/>
  <c r="T24" i="10"/>
  <c r="P24" i="10"/>
  <c r="U24" i="10" s="1"/>
  <c r="AN23" i="10"/>
  <c r="AL23" i="10"/>
  <c r="AK23" i="10"/>
  <c r="AK7" i="10" s="1"/>
  <c r="AK69" i="10" s="1"/>
  <c r="AK81" i="10" s="1"/>
  <c r="AI23" i="10"/>
  <c r="AG23" i="10"/>
  <c r="AC23" i="10"/>
  <c r="AB23" i="10"/>
  <c r="AD23" i="10" s="1"/>
  <c r="AA23" i="10"/>
  <c r="X23" i="10"/>
  <c r="CO7" i="7" s="1"/>
  <c r="W23" i="10"/>
  <c r="S23" i="10"/>
  <c r="S7" i="10" s="1"/>
  <c r="R23" i="10"/>
  <c r="Q23" i="10"/>
  <c r="O23" i="10"/>
  <c r="N23" i="10"/>
  <c r="Y23" i="10" s="1"/>
  <c r="J23" i="10"/>
  <c r="AJ22" i="10"/>
  <c r="AH22" i="10"/>
  <c r="AC22" i="10"/>
  <c r="AB22" i="10"/>
  <c r="AD22" i="10" s="1"/>
  <c r="AA22" i="10"/>
  <c r="Y22" i="10"/>
  <c r="V22" i="10"/>
  <c r="U22" i="10"/>
  <c r="T22" i="10"/>
  <c r="P22" i="10"/>
  <c r="AJ21" i="10"/>
  <c r="AH21" i="10"/>
  <c r="AC21" i="10"/>
  <c r="AB21" i="10"/>
  <c r="AD21" i="10" s="1"/>
  <c r="AA21" i="10"/>
  <c r="AA20" i="10" s="1"/>
  <c r="Y21" i="10"/>
  <c r="V21" i="10"/>
  <c r="Z21" i="10" s="1"/>
  <c r="T21" i="10"/>
  <c r="P21" i="10"/>
  <c r="U21" i="10" s="1"/>
  <c r="AN20" i="10"/>
  <c r="AL20" i="10"/>
  <c r="AK20" i="10"/>
  <c r="AI20" i="10"/>
  <c r="AG20" i="10"/>
  <c r="AC20" i="10"/>
  <c r="AB20" i="10"/>
  <c r="AD20" i="10" s="1"/>
  <c r="X20" i="10"/>
  <c r="CN7" i="7" s="1"/>
  <c r="W20" i="10"/>
  <c r="T20" i="10"/>
  <c r="S20" i="10"/>
  <c r="R20" i="10"/>
  <c r="Q20" i="10"/>
  <c r="O20" i="10"/>
  <c r="N20" i="10"/>
  <c r="P20" i="10" s="1"/>
  <c r="U20" i="10" s="1"/>
  <c r="J20" i="10"/>
  <c r="AJ19" i="10"/>
  <c r="AH19" i="10"/>
  <c r="AC19" i="10"/>
  <c r="AB19" i="10"/>
  <c r="AD19" i="10" s="1"/>
  <c r="AA19" i="10"/>
  <c r="AA17" i="10" s="1"/>
  <c r="Y19" i="10"/>
  <c r="V19" i="10"/>
  <c r="Z19" i="10" s="1"/>
  <c r="U19" i="10"/>
  <c r="T19" i="10"/>
  <c r="P19" i="10"/>
  <c r="AJ18" i="10"/>
  <c r="AH18" i="10"/>
  <c r="AC18" i="10"/>
  <c r="AB18" i="10"/>
  <c r="AA18" i="10"/>
  <c r="Y18" i="10"/>
  <c r="V18" i="10"/>
  <c r="Z18" i="10" s="1"/>
  <c r="T18" i="10"/>
  <c r="P18" i="10"/>
  <c r="U18" i="10" s="1"/>
  <c r="AN17" i="10"/>
  <c r="AL17" i="10"/>
  <c r="AK17" i="10"/>
  <c r="AI17" i="10"/>
  <c r="AG17" i="10"/>
  <c r="AC17" i="10"/>
  <c r="X17" i="10"/>
  <c r="CM7" i="7" s="1"/>
  <c r="W17" i="10"/>
  <c r="S17" i="10"/>
  <c r="T17" i="10" s="1"/>
  <c r="R17" i="10"/>
  <c r="Q17" i="10"/>
  <c r="O17" i="10"/>
  <c r="N17" i="10"/>
  <c r="J17" i="10"/>
  <c r="AJ16" i="10"/>
  <c r="AH16" i="10"/>
  <c r="AC16" i="10"/>
  <c r="AB16" i="10"/>
  <c r="AB14" i="10" s="1"/>
  <c r="AD14" i="10" s="1"/>
  <c r="AA16" i="10"/>
  <c r="Z16" i="10"/>
  <c r="Y16" i="10"/>
  <c r="V16" i="10"/>
  <c r="T16" i="10"/>
  <c r="P16" i="10"/>
  <c r="U16" i="10" s="1"/>
  <c r="AJ15" i="10"/>
  <c r="AH15" i="10"/>
  <c r="AC15" i="10"/>
  <c r="AD15" i="10" s="1"/>
  <c r="AB15" i="10"/>
  <c r="AA15" i="10"/>
  <c r="AA14" i="10" s="1"/>
  <c r="Y15" i="10"/>
  <c r="V15" i="10"/>
  <c r="Z15" i="10" s="1"/>
  <c r="T15" i="10"/>
  <c r="P15" i="10"/>
  <c r="U15" i="10" s="1"/>
  <c r="AN14" i="10"/>
  <c r="AL14" i="10"/>
  <c r="AK14" i="10"/>
  <c r="AI14" i="10"/>
  <c r="AG14" i="10"/>
  <c r="X14" i="10"/>
  <c r="CL7" i="7" s="1"/>
  <c r="W14" i="10"/>
  <c r="V14" i="10"/>
  <c r="Z14" i="10" s="1"/>
  <c r="S14" i="10"/>
  <c r="R14" i="10"/>
  <c r="T14" i="10" s="1"/>
  <c r="Q14" i="10"/>
  <c r="O14" i="10"/>
  <c r="AC14" i="10" s="1"/>
  <c r="N14" i="10"/>
  <c r="J14" i="10"/>
  <c r="AJ13" i="10"/>
  <c r="AH13" i="10"/>
  <c r="AC13" i="10"/>
  <c r="AB13" i="10"/>
  <c r="AD13" i="10" s="1"/>
  <c r="AA13" i="10"/>
  <c r="AA11" i="10" s="1"/>
  <c r="Z13" i="10"/>
  <c r="Y13" i="10"/>
  <c r="V13" i="10"/>
  <c r="T13" i="10"/>
  <c r="P13" i="10"/>
  <c r="U13" i="10" s="1"/>
  <c r="AJ12" i="10"/>
  <c r="AH12" i="10"/>
  <c r="AD12" i="10"/>
  <c r="AC12" i="10"/>
  <c r="AB12" i="10"/>
  <c r="AB11" i="10" s="1"/>
  <c r="AA12" i="10"/>
  <c r="Y12" i="10"/>
  <c r="V12" i="10"/>
  <c r="V11" i="10" s="1"/>
  <c r="U12" i="10"/>
  <c r="T12" i="10"/>
  <c r="P12" i="10"/>
  <c r="AN11" i="10"/>
  <c r="AL11" i="10"/>
  <c r="AK11" i="10"/>
  <c r="AI11" i="10"/>
  <c r="AG11" i="10"/>
  <c r="X11" i="10"/>
  <c r="W11" i="10"/>
  <c r="S11" i="10"/>
  <c r="R11" i="10"/>
  <c r="T11" i="10" s="1"/>
  <c r="Q11" i="10"/>
  <c r="P11" i="10"/>
  <c r="U11" i="10" s="1"/>
  <c r="O11" i="10"/>
  <c r="N11" i="10"/>
  <c r="J11" i="10"/>
  <c r="AJ10" i="10"/>
  <c r="AH10" i="10"/>
  <c r="AC10" i="10"/>
  <c r="AB10" i="10"/>
  <c r="AA10" i="10"/>
  <c r="Z10" i="10"/>
  <c r="Y10" i="10"/>
  <c r="V10" i="10"/>
  <c r="T10" i="10"/>
  <c r="P10" i="10"/>
  <c r="U10" i="10" s="1"/>
  <c r="AJ9" i="10"/>
  <c r="AH9" i="10"/>
  <c r="AC9" i="10"/>
  <c r="AD9" i="10" s="1"/>
  <c r="AB9" i="10"/>
  <c r="AA9" i="10"/>
  <c r="Y9" i="10"/>
  <c r="V9" i="10"/>
  <c r="U9" i="10"/>
  <c r="T9" i="10"/>
  <c r="P9" i="10"/>
  <c r="AN8" i="10"/>
  <c r="AL8" i="10"/>
  <c r="AK8" i="10"/>
  <c r="AI8" i="10"/>
  <c r="AI7" i="10" s="1"/>
  <c r="AI69" i="10" s="1"/>
  <c r="AG8" i="10"/>
  <c r="X8" i="10"/>
  <c r="AH8" i="10" s="1"/>
  <c r="W8" i="10"/>
  <c r="S8" i="10"/>
  <c r="R8" i="10"/>
  <c r="T8" i="10" s="1"/>
  <c r="Q8" i="10"/>
  <c r="Q7" i="10" s="1"/>
  <c r="P8" i="10"/>
  <c r="O8" i="10"/>
  <c r="AC8" i="10" s="1"/>
  <c r="N8" i="10"/>
  <c r="U8" i="10" s="1"/>
  <c r="J8" i="10"/>
  <c r="R7" i="10"/>
  <c r="P2" i="10"/>
  <c r="B4" i="6" s="1"/>
  <c r="DN7" i="7" l="1"/>
  <c r="AI81" i="10"/>
  <c r="AQ7" i="7"/>
  <c r="Q69" i="10"/>
  <c r="Q81" i="10" s="1"/>
  <c r="AH39" i="10"/>
  <c r="AJ39" i="10"/>
  <c r="N39" i="10"/>
  <c r="Y39" i="10" s="1"/>
  <c r="CK7" i="7"/>
  <c r="Y11" i="10"/>
  <c r="AJ11" i="10"/>
  <c r="Z22" i="10"/>
  <c r="V20" i="10"/>
  <c r="Z20" i="10" s="1"/>
  <c r="AA8" i="10"/>
  <c r="AA7" i="10" s="1"/>
  <c r="AG7" i="10"/>
  <c r="AG69" i="10" s="1"/>
  <c r="AL7" i="10"/>
  <c r="AL69" i="10" s="1"/>
  <c r="AL81" i="10" s="1"/>
  <c r="AC11" i="10"/>
  <c r="O7" i="10"/>
  <c r="AH11" i="10"/>
  <c r="Z11" i="10"/>
  <c r="AC31" i="10"/>
  <c r="O30" i="10"/>
  <c r="AC30" i="10" s="1"/>
  <c r="V39" i="10"/>
  <c r="Z39" i="10" s="1"/>
  <c r="AD44" i="10"/>
  <c r="Z58" i="10"/>
  <c r="V57" i="10"/>
  <c r="N36" i="10"/>
  <c r="S69" i="10"/>
  <c r="R30" i="10"/>
  <c r="R69" i="10" s="1"/>
  <c r="AJ33" i="10"/>
  <c r="AH33" i="10"/>
  <c r="P33" i="10"/>
  <c r="U33" i="10" s="1"/>
  <c r="U35" i="10"/>
  <c r="AJ35" i="10"/>
  <c r="P35" i="10"/>
  <c r="E4" i="6"/>
  <c r="Y8" i="10"/>
  <c r="AD11" i="10"/>
  <c r="AB17" i="10"/>
  <c r="AD17" i="10" s="1"/>
  <c r="AD18" i="10"/>
  <c r="T23" i="10"/>
  <c r="V63" i="10"/>
  <c r="Z63" i="10" s="1"/>
  <c r="N63" i="10"/>
  <c r="X61" i="10"/>
  <c r="AH67" i="10"/>
  <c r="P67" i="10"/>
  <c r="Y67" i="10"/>
  <c r="AJ67" i="10"/>
  <c r="AB67" i="10"/>
  <c r="AD67" i="10" s="1"/>
  <c r="U67" i="10"/>
  <c r="AJ7" i="7"/>
  <c r="D5" i="5"/>
  <c r="V28" i="10"/>
  <c r="Z28" i="10" s="1"/>
  <c r="N28" i="10"/>
  <c r="AA28" i="10"/>
  <c r="AA26" i="10" s="1"/>
  <c r="X26" i="10"/>
  <c r="Y33" i="10"/>
  <c r="P37" i="10"/>
  <c r="AB37" i="10"/>
  <c r="AD37" i="10" s="1"/>
  <c r="Y37" i="10"/>
  <c r="AJ37" i="10"/>
  <c r="AH37" i="10"/>
  <c r="U37" i="10"/>
  <c r="Y48" i="10"/>
  <c r="AB8" i="10"/>
  <c r="AD10" i="10"/>
  <c r="P14" i="10"/>
  <c r="U14" i="10" s="1"/>
  <c r="AC7" i="10"/>
  <c r="AZ7" i="7" s="1"/>
  <c r="V17" i="10"/>
  <c r="Z17" i="10" s="1"/>
  <c r="T7" i="10"/>
  <c r="V8" i="10"/>
  <c r="Z9" i="10"/>
  <c r="W7" i="10"/>
  <c r="W69" i="10" s="1"/>
  <c r="W81" i="10" s="1"/>
  <c r="J7" i="10"/>
  <c r="AN7" i="10"/>
  <c r="AB33" i="10"/>
  <c r="AD33" i="10" s="1"/>
  <c r="U44" i="10"/>
  <c r="AJ44" i="10"/>
  <c r="P44" i="10"/>
  <c r="AB47" i="10"/>
  <c r="AD47" i="10" s="1"/>
  <c r="P47" i="10"/>
  <c r="U47" i="10" s="1"/>
  <c r="V36" i="10"/>
  <c r="CJ7" i="7"/>
  <c r="AJ8" i="10"/>
  <c r="Y17" i="10"/>
  <c r="P17" i="10"/>
  <c r="U17" i="10" s="1"/>
  <c r="N42" i="10"/>
  <c r="AJ42" i="10"/>
  <c r="V42" i="10"/>
  <c r="Z42" i="10" s="1"/>
  <c r="AH42" i="10"/>
  <c r="Y42" i="10"/>
  <c r="V32" i="10"/>
  <c r="AH44" i="10"/>
  <c r="AD54" i="10"/>
  <c r="AD56" i="10"/>
  <c r="N58" i="10"/>
  <c r="AH58" i="10"/>
  <c r="DD7" i="7"/>
  <c r="J41" i="6"/>
  <c r="O62" i="10"/>
  <c r="Y14" i="10"/>
  <c r="AH17" i="10"/>
  <c r="V23" i="10"/>
  <c r="Z23" i="10" s="1"/>
  <c r="V26" i="10"/>
  <c r="Z26" i="10" s="1"/>
  <c r="V40" i="10"/>
  <c r="Z40" i="10" s="1"/>
  <c r="AB45" i="10"/>
  <c r="AD45" i="10" s="1"/>
  <c r="V46" i="10"/>
  <c r="Z46" i="10" s="1"/>
  <c r="N46" i="10"/>
  <c r="AJ46" i="10" s="1"/>
  <c r="N48" i="10"/>
  <c r="AJ52" i="10"/>
  <c r="U52" i="10"/>
  <c r="AH52" i="10"/>
  <c r="N53" i="10"/>
  <c r="AH53" i="10"/>
  <c r="AJ58" i="10"/>
  <c r="AB59" i="10"/>
  <c r="AD59" i="10" s="1"/>
  <c r="D21" i="6"/>
  <c r="D22" i="6" s="1"/>
  <c r="CC7" i="7"/>
  <c r="F5" i="5" s="1"/>
  <c r="AH48" i="10"/>
  <c r="AJ53" i="10"/>
  <c r="P62" i="10"/>
  <c r="U62" i="10" s="1"/>
  <c r="AB62" i="10"/>
  <c r="H45" i="6"/>
  <c r="H43" i="6"/>
  <c r="H41" i="6"/>
  <c r="F45" i="6"/>
  <c r="F43" i="6"/>
  <c r="F41" i="6"/>
  <c r="J46" i="6"/>
  <c r="J44" i="6"/>
  <c r="J42" i="6"/>
  <c r="H46" i="6"/>
  <c r="H44" i="6"/>
  <c r="H42" i="6"/>
  <c r="F46" i="6"/>
  <c r="F44" i="6"/>
  <c r="F42" i="6"/>
  <c r="D43" i="6"/>
  <c r="AD16" i="10"/>
  <c r="AJ17" i="10"/>
  <c r="Y20" i="10"/>
  <c r="P23" i="10"/>
  <c r="U23" i="10" s="1"/>
  <c r="AH23" i="10"/>
  <c r="Z27" i="10"/>
  <c r="V33" i="10"/>
  <c r="Z33" i="10" s="1"/>
  <c r="AH35" i="10"/>
  <c r="X34" i="10"/>
  <c r="AH47" i="10"/>
  <c r="AJ48" i="10"/>
  <c r="AB49" i="10"/>
  <c r="AD49" i="10" s="1"/>
  <c r="Y54" i="10"/>
  <c r="AH54" i="10"/>
  <c r="P54" i="10"/>
  <c r="U54" i="10" s="1"/>
  <c r="P55" i="10"/>
  <c r="U55" i="10" s="1"/>
  <c r="Y55" i="10"/>
  <c r="Y56" i="10"/>
  <c r="AH56" i="10"/>
  <c r="P56" i="10"/>
  <c r="U56" i="10" s="1"/>
  <c r="AH59" i="10"/>
  <c r="N66" i="10"/>
  <c r="Y66" i="10" s="1"/>
  <c r="CT7" i="7"/>
  <c r="H4" i="6" s="1"/>
  <c r="L4" i="6" s="1"/>
  <c r="J13" i="6"/>
  <c r="J43" i="6"/>
  <c r="AJ20" i="10"/>
  <c r="T31" i="10"/>
  <c r="T30" i="10" s="1"/>
  <c r="N32" i="10"/>
  <c r="AJ32" i="10" s="1"/>
  <c r="Y35" i="10"/>
  <c r="Y44" i="10"/>
  <c r="U45" i="10"/>
  <c r="AH45" i="10"/>
  <c r="Y47" i="10"/>
  <c r="N51" i="10"/>
  <c r="AH51" i="10" s="1"/>
  <c r="X57" i="10"/>
  <c r="U59" i="10"/>
  <c r="AJ59" i="10"/>
  <c r="D44" i="6"/>
  <c r="AA7" i="7"/>
  <c r="D23" i="6" s="1"/>
  <c r="D24" i="6" s="1"/>
  <c r="AM7" i="7"/>
  <c r="AH14" i="10"/>
  <c r="Z12" i="10"/>
  <c r="AJ14" i="10"/>
  <c r="AH20" i="10"/>
  <c r="AJ23" i="10"/>
  <c r="V38" i="10"/>
  <c r="Z38" i="10" s="1"/>
  <c r="N38" i="10"/>
  <c r="N40" i="10"/>
  <c r="N34" i="10" s="1"/>
  <c r="N43" i="10"/>
  <c r="AH43" i="10" s="1"/>
  <c r="AJ45" i="10"/>
  <c r="V48" i="10"/>
  <c r="Z48" i="10" s="1"/>
  <c r="AJ62" i="10"/>
  <c r="V62" i="10"/>
  <c r="AH64" i="10"/>
  <c r="X71" i="10"/>
  <c r="X70" i="10" s="1"/>
  <c r="D45" i="6"/>
  <c r="AD7" i="7"/>
  <c r="Y62" i="10"/>
  <c r="Y68" i="10"/>
  <c r="AH68" i="10"/>
  <c r="P68" i="10"/>
  <c r="U68" i="10" s="1"/>
  <c r="J45" i="6"/>
  <c r="I6" i="8"/>
  <c r="V50" i="10"/>
  <c r="Z50" i="10" s="1"/>
  <c r="AJ50" i="10"/>
  <c r="N65" i="10"/>
  <c r="BF7" i="7"/>
  <c r="C20" i="5" s="1"/>
  <c r="AI7" i="7"/>
  <c r="CV7" i="7"/>
  <c r="CZ7" i="7" s="1"/>
  <c r="F6" i="5" s="1"/>
  <c r="H6" i="8"/>
  <c r="Z7" i="7" s="1"/>
  <c r="E50" i="12"/>
  <c r="V65" i="10"/>
  <c r="Z65" i="10" s="1"/>
  <c r="R81" i="10" l="1"/>
  <c r="AR7" i="7"/>
  <c r="T69" i="10"/>
  <c r="P34" i="10"/>
  <c r="U34" i="10"/>
  <c r="AB34" i="10"/>
  <c r="AD34" i="10" s="1"/>
  <c r="AD62" i="10"/>
  <c r="U36" i="10"/>
  <c r="P36" i="10"/>
  <c r="AB36" i="10"/>
  <c r="AD36" i="10" s="1"/>
  <c r="AB63" i="10"/>
  <c r="AJ36" i="10"/>
  <c r="V7" i="10"/>
  <c r="Z8" i="10"/>
  <c r="CS7" i="7"/>
  <c r="N26" i="10"/>
  <c r="P28" i="10"/>
  <c r="U28" i="10" s="1"/>
  <c r="AB28" i="10"/>
  <c r="AJ63" i="10"/>
  <c r="Y36" i="10"/>
  <c r="AB40" i="10"/>
  <c r="AD40" i="10" s="1"/>
  <c r="P40" i="10"/>
  <c r="U40" i="10" s="1"/>
  <c r="AJ40" i="10"/>
  <c r="AH40" i="10"/>
  <c r="CP7" i="7"/>
  <c r="BG7" i="7"/>
  <c r="C21" i="5" s="1"/>
  <c r="AK7" i="7"/>
  <c r="AH36" i="10"/>
  <c r="V61" i="10"/>
  <c r="Z61" i="10" s="1"/>
  <c r="Z62" i="10"/>
  <c r="U53" i="10"/>
  <c r="P53" i="10"/>
  <c r="AB53" i="10"/>
  <c r="AD53" i="10" s="1"/>
  <c r="P65" i="10"/>
  <c r="U65" i="10" s="1"/>
  <c r="AB65" i="10"/>
  <c r="AD65" i="10" s="1"/>
  <c r="AH65" i="10"/>
  <c r="Y65" i="10"/>
  <c r="AH34" i="10"/>
  <c r="AJ34" i="10"/>
  <c r="Y34" i="10"/>
  <c r="F8" i="5"/>
  <c r="F13" i="5" s="1"/>
  <c r="AC62" i="10"/>
  <c r="O63" i="10"/>
  <c r="AC63" i="10" s="1"/>
  <c r="Y28" i="10"/>
  <c r="AJ28" i="10"/>
  <c r="Z57" i="10"/>
  <c r="AX7" i="7"/>
  <c r="AA69" i="10"/>
  <c r="AA81" i="10" s="1"/>
  <c r="AB38" i="10"/>
  <c r="AD38" i="10" s="1"/>
  <c r="U38" i="10"/>
  <c r="AH38" i="10"/>
  <c r="P38" i="10"/>
  <c r="Y38" i="10"/>
  <c r="AB58" i="10"/>
  <c r="AD58" i="10" s="1"/>
  <c r="N57" i="10"/>
  <c r="P58" i="10"/>
  <c r="U58" i="10" s="1"/>
  <c r="V34" i="10"/>
  <c r="Z34" i="10" s="1"/>
  <c r="Z36" i="10"/>
  <c r="Y53" i="10"/>
  <c r="AH66" i="10"/>
  <c r="Z32" i="10"/>
  <c r="V31" i="10"/>
  <c r="AB42" i="10"/>
  <c r="AD42" i="10" s="1"/>
  <c r="P42" i="10"/>
  <c r="U42" i="10"/>
  <c r="AH63" i="10"/>
  <c r="DP7" i="7"/>
  <c r="D12" i="5"/>
  <c r="Y40" i="10"/>
  <c r="AL7" i="7"/>
  <c r="B9" i="5" s="1"/>
  <c r="Y32" i="10"/>
  <c r="AH28" i="10"/>
  <c r="Y63" i="10"/>
  <c r="AB51" i="10"/>
  <c r="AD51" i="10" s="1"/>
  <c r="Y51" i="10"/>
  <c r="P51" i="10"/>
  <c r="U51" i="10" s="1"/>
  <c r="AJ51" i="10"/>
  <c r="AB46" i="10"/>
  <c r="AD46" i="10" s="1"/>
  <c r="Y46" i="10"/>
  <c r="AH46" i="10"/>
  <c r="P46" i="10"/>
  <c r="U46" i="10" s="1"/>
  <c r="AD8" i="10"/>
  <c r="X7" i="10"/>
  <c r="AJ38" i="10"/>
  <c r="Y58" i="10"/>
  <c r="AB43" i="10"/>
  <c r="AD43" i="10" s="1"/>
  <c r="Y43" i="10"/>
  <c r="AJ43" i="10"/>
  <c r="P43" i="10"/>
  <c r="U43" i="10" s="1"/>
  <c r="CR7" i="7"/>
  <c r="AJ57" i="10"/>
  <c r="Y57" i="10"/>
  <c r="P32" i="10"/>
  <c r="AB32" i="10"/>
  <c r="AD32" i="10" s="1"/>
  <c r="AH32" i="10"/>
  <c r="N31" i="10"/>
  <c r="U32" i="10"/>
  <c r="AJ66" i="10"/>
  <c r="AB66" i="10"/>
  <c r="O66" i="10"/>
  <c r="AC66" i="10" s="1"/>
  <c r="N61" i="10"/>
  <c r="Y61" i="10" s="1"/>
  <c r="AJ65" i="10"/>
  <c r="P48" i="10"/>
  <c r="U48" i="10" s="1"/>
  <c r="AB48" i="10"/>
  <c r="AD48" i="10" s="1"/>
  <c r="X30" i="10"/>
  <c r="BM7" i="7"/>
  <c r="AS7" i="7"/>
  <c r="S81" i="10"/>
  <c r="DK7" i="7"/>
  <c r="AG81" i="10"/>
  <c r="P39" i="10"/>
  <c r="U39" i="10" s="1"/>
  <c r="AB39" i="10"/>
  <c r="AD39" i="10" s="1"/>
  <c r="Z7" i="10" l="1"/>
  <c r="P63" i="10"/>
  <c r="U63" i="10" s="1"/>
  <c r="P26" i="10"/>
  <c r="U26" i="10"/>
  <c r="N7" i="10"/>
  <c r="AJ7" i="10" s="1"/>
  <c r="AB61" i="10"/>
  <c r="AH26" i="10"/>
  <c r="AH61" i="10"/>
  <c r="X69" i="10"/>
  <c r="Y7" i="10"/>
  <c r="AB57" i="10"/>
  <c r="AD57" i="10" s="1"/>
  <c r="P57" i="10"/>
  <c r="U57" i="10"/>
  <c r="Z31" i="10"/>
  <c r="V30" i="10"/>
  <c r="Z30" i="10" s="1"/>
  <c r="BJ7" i="7"/>
  <c r="C24" i="5" s="1"/>
  <c r="B5" i="5"/>
  <c r="P66" i="10"/>
  <c r="U66" i="10" s="1"/>
  <c r="B12" i="5"/>
  <c r="Y26" i="10"/>
  <c r="AJ61" i="10"/>
  <c r="AT7" i="7"/>
  <c r="AB26" i="10"/>
  <c r="AD28" i="10"/>
  <c r="O61" i="10"/>
  <c r="DM7" i="7"/>
  <c r="B11" i="5" s="1"/>
  <c r="D11" i="5"/>
  <c r="AB31" i="10"/>
  <c r="AD31" i="10" s="1"/>
  <c r="N30" i="10"/>
  <c r="AJ30" i="10" s="1"/>
  <c r="P31" i="10"/>
  <c r="P30" i="10" s="1"/>
  <c r="AH31" i="10"/>
  <c r="AJ31" i="10"/>
  <c r="Y31" i="10"/>
  <c r="AD63" i="10"/>
  <c r="CQ7" i="7"/>
  <c r="CU7" i="7" s="1"/>
  <c r="Y30" i="10"/>
  <c r="AD66" i="10"/>
  <c r="AH57" i="10"/>
  <c r="AJ26" i="10"/>
  <c r="T81" i="10"/>
  <c r="CI7" i="7" l="1"/>
  <c r="D6" i="5"/>
  <c r="DG7" i="7"/>
  <c r="AH30" i="10"/>
  <c r="U31" i="10"/>
  <c r="N69" i="10"/>
  <c r="P7" i="10"/>
  <c r="U7" i="10" s="1"/>
  <c r="AC61" i="10"/>
  <c r="O69" i="10"/>
  <c r="P61" i="10"/>
  <c r="U61" i="10" s="1"/>
  <c r="V69" i="10"/>
  <c r="AD26" i="10"/>
  <c r="AB7" i="10"/>
  <c r="U30" i="10"/>
  <c r="AB30" i="10"/>
  <c r="AD30" i="10" s="1"/>
  <c r="AH7" i="10"/>
  <c r="AV7" i="7"/>
  <c r="X81" i="10"/>
  <c r="AD61" i="10"/>
  <c r="AY7" i="7" l="1"/>
  <c r="AD7" i="10"/>
  <c r="BA7" i="7" s="1"/>
  <c r="P69" i="10"/>
  <c r="N81" i="10"/>
  <c r="AB69" i="10"/>
  <c r="AN7" i="7"/>
  <c r="U69" i="10"/>
  <c r="AH69" i="10"/>
  <c r="O81" i="10"/>
  <c r="AO7" i="7"/>
  <c r="AC69" i="10"/>
  <c r="AJ69" i="10"/>
  <c r="AJ81" i="10" s="1"/>
  <c r="Y81" i="10"/>
  <c r="AH81" i="10"/>
  <c r="AU7" i="7"/>
  <c r="AW7" i="7" s="1"/>
  <c r="D9" i="5" s="1"/>
  <c r="V81" i="10"/>
  <c r="Z69" i="10"/>
  <c r="Z81" i="10" s="1"/>
  <c r="Y69" i="10"/>
  <c r="D8" i="5"/>
  <c r="D13" i="5" s="1"/>
  <c r="DR7" i="7"/>
  <c r="B6" i="5"/>
  <c r="DF7" i="7"/>
  <c r="AD69" i="10" l="1"/>
  <c r="AB81" i="10"/>
  <c r="B8" i="5"/>
  <c r="B13" i="5" s="1"/>
  <c r="DQ7" i="7"/>
  <c r="P81" i="10"/>
  <c r="U81" i="10" s="1"/>
  <c r="D15" i="5"/>
  <c r="AP7" i="7"/>
  <c r="BI7" i="7" s="1"/>
  <c r="C23" i="5" s="1"/>
  <c r="D27" i="6"/>
  <c r="BD7" i="7"/>
  <c r="D28" i="6"/>
  <c r="D16" i="5" l="1"/>
  <c r="BH7" i="7"/>
  <c r="C22" i="5" s="1"/>
  <c r="BB7" i="7"/>
  <c r="BK7" i="7"/>
  <c r="C25" i="5" s="1"/>
  <c r="BL7" i="7"/>
  <c r="C26" i="5" s="1"/>
  <c r="F15" i="5"/>
  <c r="H5" i="6"/>
  <c r="D29" i="6"/>
  <c r="BE7" i="7"/>
  <c r="BC7" i="7" l="1"/>
  <c r="D25" i="6"/>
  <c r="B5" i="6"/>
  <c r="F16" i="5"/>
  <c r="D30" i="6"/>
  <c r="L5" i="6"/>
  <c r="E5" i="6" l="1"/>
  <c r="D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M4" authorId="0" shapeId="0" xr:uid="{00000000-0006-0000-0600-000004000000}">
      <text>
        <r>
          <rPr>
            <sz val="9"/>
            <color indexed="81"/>
            <rFont val="Arial"/>
            <family val="2"/>
          </rPr>
          <t>已确产值</t>
        </r>
      </text>
    </comment>
    <comment ref="CV4" authorId="0" shapeId="0" xr:uid="{00000000-0006-0000-0600-000001000000}">
      <text>
        <r>
          <rPr>
            <sz val="9"/>
            <color indexed="81"/>
            <rFont val="Arial"/>
            <family val="2"/>
          </rPr>
          <t>陈思燕:
不计入成本</t>
        </r>
      </text>
    </comment>
    <comment ref="DA4" authorId="0" shapeId="0" xr:uid="{00000000-0006-0000-0600-000002000000}">
      <text>
        <r>
          <rPr>
            <sz val="9"/>
            <color indexed="81"/>
            <rFont val="Arial"/>
            <family val="2"/>
          </rPr>
          <t>陈思燕:
不计入成本</t>
        </r>
      </text>
    </comment>
    <comment ref="DE4" authorId="0" shapeId="0" xr:uid="{00000000-0006-0000-0600-000003000000}">
      <text>
        <r>
          <rPr>
            <sz val="9"/>
            <color indexed="81"/>
            <rFont val="Arial"/>
            <family val="2"/>
          </rPr>
          <t>陈思燕:
不计入成本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4" authorId="0" shapeId="0" xr:uid="{00000000-0006-0000-0700-000001000000}">
      <text>
        <r>
          <rPr>
            <sz val="9"/>
            <color indexed="81"/>
            <rFont val="Arial"/>
            <family val="2"/>
          </rPr>
          <t>陈思燕:
要求计算开累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E4" authorId="0" shapeId="0" xr:uid="{00000000-0006-0000-0900-000001000000}">
      <text>
        <r>
          <rPr>
            <sz val="9"/>
            <color indexed="81"/>
            <rFont val="Arial"/>
            <family val="2"/>
          </rPr>
          <t>陈思燕:
现金、票据、资产处置</t>
        </r>
      </text>
    </comment>
    <comment ref="AF4" authorId="0" shapeId="0" xr:uid="{00000000-0006-0000-0900-000002000000}">
      <text>
        <r>
          <rPr>
            <sz val="9"/>
            <color indexed="81"/>
            <rFont val="Arial"/>
            <family val="2"/>
          </rPr>
          <t>陈思燕:
预付款、进度款、结算款、质保金</t>
        </r>
      </text>
    </comment>
    <comment ref="O66" authorId="0" shapeId="0" xr:uid="{00000000-0006-0000-0900-000003000000}">
      <text>
        <r>
          <rPr>
            <sz val="9"/>
            <color indexed="81"/>
            <rFont val="Arial"/>
            <family val="2"/>
          </rPr>
          <t xml:space="preserve">gouyong:
在表3.1编号1.10和1.11单元格填写后, 这里会按公式自动计算
</t>
        </r>
      </text>
    </comment>
  </commentList>
</comments>
</file>

<file path=xl/sharedStrings.xml><?xml version="1.0" encoding="utf-8"?>
<sst xmlns="http://schemas.openxmlformats.org/spreadsheetml/2006/main" count="1139" uniqueCount="817">
  <si>
    <t>2021年4月</t>
  </si>
  <si>
    <t>项目月度商务管理报表</t>
  </si>
  <si>
    <r>
      <rPr>
        <u/>
        <sz val="16"/>
        <color theme="1"/>
        <rFont val="宋体"/>
        <family val="3"/>
        <charset val="134"/>
      </rPr>
      <t xml:space="preserve">                              </t>
    </r>
    <r>
      <rPr>
        <sz val="16"/>
        <color theme="1"/>
        <rFont val="宋体"/>
        <family val="3"/>
        <charset val="134"/>
      </rPr>
      <t>工程</t>
    </r>
  </si>
  <si>
    <t>综合工程履约中心</t>
  </si>
  <si>
    <t>编制时间：   年   月   日</t>
  </si>
  <si>
    <t>目  录</t>
  </si>
  <si>
    <r>
      <rPr>
        <sz val="12"/>
        <color theme="1"/>
        <rFont val="宋体"/>
        <family val="3"/>
        <charset val="134"/>
      </rPr>
      <t>封面</t>
    </r>
    <r>
      <rPr>
        <sz val="12"/>
        <color theme="1"/>
        <rFont val="Microsoft YaHei"/>
        <charset val="134"/>
      </rPr>
      <t>·····································································································································</t>
    </r>
  </si>
  <si>
    <t>封面</t>
  </si>
  <si>
    <t>不填写</t>
  </si>
  <si>
    <r>
      <rPr>
        <sz val="12"/>
        <color theme="1"/>
        <rFont val="宋体"/>
        <family val="3"/>
        <charset val="134"/>
      </rPr>
      <t>目录</t>
    </r>
    <r>
      <rPr>
        <sz val="12"/>
        <color theme="1"/>
        <rFont val="Microsoft YaHei"/>
        <charset val="134"/>
      </rPr>
      <t>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</t>
    </r>
  </si>
  <si>
    <t>目录</t>
  </si>
  <si>
    <r>
      <rPr>
        <sz val="12"/>
        <color theme="1"/>
        <rFont val="宋体"/>
        <family val="3"/>
        <charset val="134"/>
      </rPr>
      <t>编制说明</t>
    </r>
    <r>
      <rPr>
        <sz val="12"/>
        <color theme="1"/>
        <rFont val="Microsoft YaHei"/>
        <charset val="134"/>
      </rPr>
      <t>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·</t>
    </r>
  </si>
  <si>
    <t>说明</t>
  </si>
  <si>
    <r>
      <rPr>
        <sz val="12"/>
        <color theme="1"/>
        <rFont val="宋体"/>
        <family val="3"/>
        <charset val="134"/>
      </rPr>
      <t>项目月度资金预算批复单</t>
    </r>
    <r>
      <rPr>
        <sz val="12"/>
        <color theme="1"/>
        <rFont val="Microsoft YaHei"/>
        <charset val="134"/>
      </rPr>
      <t>·······································································································································</t>
    </r>
  </si>
  <si>
    <t>表1</t>
  </si>
  <si>
    <t>部分填写</t>
  </si>
  <si>
    <r>
      <rPr>
        <sz val="12"/>
        <color theme="1"/>
        <rFont val="宋体"/>
        <family val="3"/>
        <charset val="134"/>
      </rPr>
      <t>项目月度成本管理分析</t>
    </r>
    <r>
      <rPr>
        <sz val="12"/>
        <color theme="1"/>
        <rFont val="Microsoft YaHei"/>
        <charset val="134"/>
      </rPr>
      <t>········································································································································</t>
    </r>
  </si>
  <si>
    <t>表2</t>
  </si>
  <si>
    <r>
      <rPr>
        <sz val="12"/>
        <color theme="1"/>
        <rFont val="宋体"/>
        <family val="3"/>
        <charset val="134"/>
      </rPr>
      <t>项目级商务报表汇总表</t>
    </r>
    <r>
      <rPr>
        <sz val="12"/>
        <color theme="1"/>
        <rFont val="Microsoft YaHei"/>
        <charset val="134"/>
      </rPr>
      <t>········································································································································</t>
    </r>
  </si>
  <si>
    <t>表3</t>
  </si>
  <si>
    <r>
      <rPr>
        <sz val="12"/>
        <color theme="1"/>
        <rFont val="宋体"/>
        <family val="3"/>
        <charset val="134"/>
      </rPr>
      <t>业主产值详表</t>
    </r>
    <r>
      <rPr>
        <sz val="12"/>
        <color theme="1"/>
        <rFont val="Microsoft YaHei"/>
        <charset val="134"/>
      </rPr>
      <t>·······························································································································</t>
    </r>
  </si>
  <si>
    <t>表3.1</t>
  </si>
  <si>
    <t>填写</t>
  </si>
  <si>
    <r>
      <rPr>
        <sz val="12"/>
        <color theme="1"/>
        <rFont val="宋体"/>
        <family val="3"/>
        <charset val="134"/>
      </rPr>
      <t>业主待确产值详表</t>
    </r>
    <r>
      <rPr>
        <sz val="12"/>
        <color theme="1"/>
        <rFont val="Microsoft YaHei"/>
        <charset val="134"/>
      </rPr>
      <t>········································································································································</t>
    </r>
  </si>
  <si>
    <t>表3.1.1</t>
  </si>
  <si>
    <r>
      <rPr>
        <sz val="12"/>
        <color theme="1"/>
        <rFont val="宋体"/>
        <family val="3"/>
        <charset val="134"/>
      </rPr>
      <t>月度成本、资金详表</t>
    </r>
    <r>
      <rPr>
        <sz val="12"/>
        <color theme="1"/>
        <rFont val="Microsoft YaHei"/>
        <charset val="134"/>
      </rPr>
      <t>·····································································································································</t>
    </r>
  </si>
  <si>
    <t>表3.2</t>
  </si>
  <si>
    <r>
      <rPr>
        <sz val="12"/>
        <color theme="1"/>
        <rFont val="宋体"/>
        <family val="3"/>
        <charset val="134"/>
      </rPr>
      <t>已发生待确成本计算详表</t>
    </r>
    <r>
      <rPr>
        <sz val="12"/>
        <color theme="1"/>
        <rFont val="Microsoft YaHei"/>
        <charset val="134"/>
      </rPr>
      <t>········································································································································</t>
    </r>
  </si>
  <si>
    <t>表3.2.1</t>
  </si>
  <si>
    <t>编 制 说 明</t>
  </si>
  <si>
    <t>1、商务报表统计的范围：
在建项目（存量在建、新增在建）、完工未结（指业主未办理结算），完工已结（指业主当年办理结算的项目）。当年完工已结项目当年报表中不予删除，于次年1月报表中更新删除，并在1月报表总结中说明。</t>
  </si>
  <si>
    <t>2、填报时间：
1）项目部编制产值、结算金额每月26日完成更新报送区域公司及集团，集团28日审核完成并移交集团财务中心。
2）项目部更新业主已收款、内部已付款、间接费、税金、管理费等相关财务数据次月7日完成并移交集团财税中心，集团财税中心次月8日审核完成并移交集团履约中心。
3）集团履约中心在次月15日审核汇总后呈报集团总经理。</t>
  </si>
  <si>
    <t>3、档案管理要求：
3.1每月完整的电子文档保存；
3.2 需打印的文件：月度商务管理分析表、月度商务管理汇总表。</t>
  </si>
  <si>
    <t>4、项目成本管理警示：
4.1 7项指标项，超过6项（含6项）超出参考范围值或总利润率连续3个月以上（含3个月）为负，则本项目为红色预警；
4.2 7项指标项，2-5项（含5项）超出参考范围值或总利润率连续2个月（含2个月）为负，则本项目为黄色预警；
4.3 指标项正常及利润率为正，则项目运行良好，显示绿灯。</t>
  </si>
  <si>
    <t>表1 - 月度资金预算批复单</t>
  </si>
  <si>
    <t>项目名称:</t>
  </si>
  <si>
    <t>报告期间:</t>
  </si>
  <si>
    <t>单位:元</t>
  </si>
  <si>
    <t>工程名称</t>
  </si>
  <si>
    <t>合同额</t>
  </si>
  <si>
    <t>一、资金情况</t>
  </si>
  <si>
    <t>自开工累计总收入</t>
  </si>
  <si>
    <t>其中：业主收入</t>
  </si>
  <si>
    <t>其中：往来收入</t>
  </si>
  <si>
    <t>自开工累计总支出</t>
  </si>
  <si>
    <t>其中：成本支出</t>
  </si>
  <si>
    <t>其中：往来支出</t>
  </si>
  <si>
    <t>公司垫资本金</t>
  </si>
  <si>
    <t>公司垫资利息</t>
  </si>
  <si>
    <t>期初资金流（总收入-总支出）</t>
  </si>
  <si>
    <t>期初项目经营性资金流（业主收款-成本支出）</t>
  </si>
  <si>
    <t>期初往来资金余额</t>
  </si>
  <si>
    <t>应收未收款
（合约）</t>
  </si>
  <si>
    <t>应付未付款
（合约）</t>
  </si>
  <si>
    <t>资金收款计划</t>
  </si>
  <si>
    <t>项目资金支出计划</t>
  </si>
  <si>
    <t>公司批准资金支出</t>
  </si>
  <si>
    <t>预计期末资金流
（总收入-总支出）</t>
  </si>
  <si>
    <t>预计期末项目经营性资金流（业主收款-成本支出）</t>
  </si>
  <si>
    <t>预计期末往来资金余额</t>
  </si>
  <si>
    <t>二、项目利润状况</t>
  </si>
  <si>
    <t>业主产值
（已确认）</t>
  </si>
  <si>
    <t>全口径成本（已确认）</t>
  </si>
  <si>
    <t>开累至今利润额
（已确）</t>
  </si>
  <si>
    <t>业主产值
（已确认+待确认）</t>
  </si>
  <si>
    <t>全口径成本（已确认+待确认）</t>
  </si>
  <si>
    <t>开累至今利润额
（已确+待确）</t>
  </si>
  <si>
    <t>三、项目各指标分析</t>
  </si>
  <si>
    <t>指标名称</t>
  </si>
  <si>
    <t>计算规则</t>
  </si>
  <si>
    <t>结果</t>
  </si>
  <si>
    <t>参考值</t>
  </si>
  <si>
    <t>红绿灯</t>
  </si>
  <si>
    <t>存在问题原因分析</t>
  </si>
  <si>
    <t>绿</t>
  </si>
  <si>
    <t>[40]成本刚性度</t>
  </si>
  <si>
    <t>表2 - 项目商务管理分析表</t>
  </si>
  <si>
    <t>一、项目总体评价：</t>
  </si>
  <si>
    <t>上缴管理费费率</t>
  </si>
  <si>
    <t>预计完工应缴纳管理费</t>
  </si>
  <si>
    <t>已缴纳管理费</t>
  </si>
  <si>
    <t>欠公司管理费</t>
  </si>
  <si>
    <t>开累至今利润额（已确+待确）</t>
  </si>
  <si>
    <t>利润率
（已确+待确）</t>
  </si>
  <si>
    <t>开累至今利润额（已确）</t>
  </si>
  <si>
    <t>利润率
（已确）</t>
  </si>
  <si>
    <t>项目预警（红 黄 绿）：</t>
  </si>
  <si>
    <t>此处填写预警存在问题及原因分析</t>
  </si>
  <si>
    <t>二、工程概况：</t>
  </si>
  <si>
    <t>工程名称：</t>
  </si>
  <si>
    <t>建设单位名称：</t>
  </si>
  <si>
    <t>工程地点：</t>
  </si>
  <si>
    <t>工程规模：</t>
  </si>
  <si>
    <t>合同开工时间：</t>
  </si>
  <si>
    <t>合同竣工时间：</t>
  </si>
  <si>
    <t>实际开工时间:</t>
  </si>
  <si>
    <t>实际竣工时间:</t>
  </si>
  <si>
    <t>合同价款（不包括暂列金额、暂估价、甲供材）：</t>
  </si>
  <si>
    <t>单方造价（元/m2）</t>
  </si>
  <si>
    <t>工程款支付方式：</t>
  </si>
  <si>
    <t>工程资金来源：</t>
  </si>
  <si>
    <t>预估完工结算金额  ：</t>
  </si>
  <si>
    <t>本年度目标产值（已确+待确）：</t>
  </si>
  <si>
    <t>三、工程形象进度简要概况：</t>
  </si>
  <si>
    <t>四、各项商务数据风险清单状况</t>
  </si>
  <si>
    <t>项目名称</t>
  </si>
  <si>
    <t>风险因素</t>
  </si>
  <si>
    <t>改进措施及风险防控</t>
  </si>
  <si>
    <t>备 注</t>
  </si>
  <si>
    <t>进度</t>
  </si>
  <si>
    <t>[110]开累产值完成额</t>
  </si>
  <si>
    <t>[120]开累产值完成率</t>
  </si>
  <si>
    <t>是否有滞后现象</t>
  </si>
  <si>
    <t>[130]本年度产值完成额</t>
  </si>
  <si>
    <t>[140]本年度产值完成率</t>
  </si>
  <si>
    <t>利润</t>
  </si>
  <si>
    <t>[210]开累至今利润额
（已确+待确）</t>
  </si>
  <si>
    <t>≥±300万元（在建项目）；≥目标利润额（完工项目）</t>
  </si>
  <si>
    <t>[220]利润率（%）
（已确+待确）</t>
  </si>
  <si>
    <t>≥±5%（在建项目）；≥目标利润率（完工项目）</t>
  </si>
  <si>
    <r>
      <rPr>
        <sz val="10"/>
        <color theme="1"/>
        <rFont val="Calibri"/>
        <family val="2"/>
      </rPr>
      <t>[223]利润额 已确</t>
    </r>
    <r>
      <rPr>
        <sz val="10"/>
        <rFont val="宋体"/>
        <family val="3"/>
        <charset val="134"/>
      </rPr>
      <t>产值</t>
    </r>
    <r>
      <rPr>
        <sz val="10"/>
        <color theme="1"/>
        <rFont val="宋体"/>
        <family val="3"/>
        <charset val="134"/>
      </rPr>
      <t>-(已确成本+待确成本)</t>
    </r>
  </si>
  <si>
    <t>≥±100万元（在建项目）；≥目标利润额（完工项目）
受确权产值影响，需根据合同约定具体分析</t>
  </si>
  <si>
    <t>[225]利润率(%)[已确产值-(已确成本+待确成本)]/已确产值</t>
  </si>
  <si>
    <t>≥±15%（在建项目）；≥目标利润率（完工项目）受确权产值影响，需根据合同约定具体分析</t>
  </si>
  <si>
    <t>[230]开累至今利润额
（已确）</t>
  </si>
  <si>
    <t>≥±500万元（在建项目）；≥目标利润额（完工项目）</t>
  </si>
  <si>
    <t>[240]利润率（%）
（已确）</t>
  </si>
  <si>
    <t>≥±10%（在建项目；≥目标利润率（完工项目）</t>
  </si>
  <si>
    <t>造价管理</t>
  </si>
  <si>
    <t>[310]施工图预算</t>
  </si>
  <si>
    <t>1.是否按要求时间办理；
2.是否存在重大争议项</t>
  </si>
  <si>
    <t>[320]签证、索赔办理情况</t>
  </si>
  <si>
    <t>描述办理情况及完成率；</t>
  </si>
  <si>
    <t>[330]认质认价办理情况</t>
  </si>
  <si>
    <t>[340]业主结算</t>
  </si>
  <si>
    <t>[350]目标成本</t>
  </si>
  <si>
    <t>1.是否完成；
2.是否在目标管理范围内</t>
  </si>
  <si>
    <t>[360]完工成本预分析</t>
  </si>
  <si>
    <t>1.是否完成；
2.是否达到利润目标；</t>
  </si>
  <si>
    <t>五、主控费用状况</t>
  </si>
  <si>
    <t>范围</t>
  </si>
  <si>
    <t>目标成本</t>
  </si>
  <si>
    <t>合同(已签订）</t>
  </si>
  <si>
    <t>实际发生</t>
  </si>
  <si>
    <t>存在问题及改进措施</t>
  </si>
  <si>
    <t>金额</t>
  </si>
  <si>
    <t>单方造价</t>
  </si>
  <si>
    <t>其中：已确认金额</t>
  </si>
  <si>
    <t>[10]周转材费用</t>
  </si>
  <si>
    <t>模板、木枋、架管、扣件、矩管、铝模、爬架等</t>
  </si>
  <si>
    <t>1.存在问题：
2.改进措施：</t>
  </si>
  <si>
    <t>[20]垂直运输费用</t>
  </si>
  <si>
    <t>塔吊、施工电梯、物料提升机等</t>
  </si>
  <si>
    <t>[30]土建劳务费用</t>
  </si>
  <si>
    <t>[40]安全文明费用</t>
  </si>
  <si>
    <t>临时设施、安全、文明、环境保护</t>
  </si>
  <si>
    <t>[50]水电费用</t>
  </si>
  <si>
    <t>[60]间接费用</t>
  </si>
  <si>
    <t>说明:1.周转材料费用不包含人工费，但从合同计算依据出发，铝模、爬架为专业分包时，简化处理该部分包含人工费，备注中注明；
     2.垂直运输费用包含但不限于进出场费、租赁费、人工费等，但不包含基础费用；
     3.土建劳务费用包含但不限于主体、二次结构、粗装修等，铝模、爬架不是专业分包时，需将该部分人工费进入土建劳务费用，备注中注明；
     4.安全文明费用包含但不限于临时设施、安全、文明、环境保护；</t>
  </si>
  <si>
    <t>表3 - 项目月度商务管理汇总表</t>
  </si>
  <si>
    <t>序号</t>
  </si>
  <si>
    <t>基 本 信 息</t>
  </si>
  <si>
    <t>业主产值</t>
  </si>
  <si>
    <t>业主收款</t>
  </si>
  <si>
    <t>全口径成本</t>
  </si>
  <si>
    <t>应付未付款</t>
  </si>
  <si>
    <t>利润
（自开工累计）</t>
  </si>
  <si>
    <t>指标</t>
  </si>
  <si>
    <t>总收入</t>
  </si>
  <si>
    <t>总支出</t>
  </si>
  <si>
    <t>期初资金余额</t>
  </si>
  <si>
    <t>资金计划</t>
  </si>
  <si>
    <t>预计期末资金余额</t>
  </si>
  <si>
    <t>备注</t>
  </si>
  <si>
    <t>客户体系</t>
  </si>
  <si>
    <t>项目状态</t>
  </si>
  <si>
    <t>增/存量</t>
  </si>
  <si>
    <t>管理费率</t>
  </si>
  <si>
    <t>专业</t>
  </si>
  <si>
    <t>大客户</t>
  </si>
  <si>
    <t>经营模式</t>
  </si>
  <si>
    <t>合伙人</t>
  </si>
  <si>
    <t>区域</t>
  </si>
  <si>
    <t>工程规模</t>
  </si>
  <si>
    <t>计划开工时间</t>
  </si>
  <si>
    <t>计划竣工时间</t>
  </si>
  <si>
    <t>实际开工日期</t>
  </si>
  <si>
    <t>实际竣工日期</t>
  </si>
  <si>
    <t>合同编号
（PKPM编号）</t>
  </si>
  <si>
    <t>合同名称</t>
  </si>
  <si>
    <t>合同金额
（包括暂列金额、暂估价、甲供材）</t>
  </si>
  <si>
    <t>合同金额
（不包括暂列金额、暂估价、甲供材）</t>
  </si>
  <si>
    <t>甲方名称</t>
  </si>
  <si>
    <t>开工至上年度产值</t>
  </si>
  <si>
    <t>本年度累计实际完成产值</t>
  </si>
  <si>
    <t xml:space="preserve">其中:本月实际完成产值 </t>
  </si>
  <si>
    <t>自开工累计实际完成产值</t>
  </si>
  <si>
    <t>应收工程款
（合约）</t>
  </si>
  <si>
    <t>已收工程款</t>
  </si>
  <si>
    <t>应收未收款
(100%)</t>
  </si>
  <si>
    <t>自开工累计已发生成本（完全成本）</t>
  </si>
  <si>
    <t>其中: 本月已发生成本（完全成本）</t>
  </si>
  <si>
    <t>合约</t>
  </si>
  <si>
    <t>已付款</t>
  </si>
  <si>
    <t>100%</t>
  </si>
  <si>
    <t>应付未付款
(100%)</t>
  </si>
  <si>
    <t>总产值-总成本</t>
  </si>
  <si>
    <t>已确产值-已确成本</t>
  </si>
  <si>
    <t>业主产值确权比（%）</t>
  </si>
  <si>
    <t>确权产值回款率（%）</t>
  </si>
  <si>
    <t>成本确权比</t>
  </si>
  <si>
    <t>成本刚性度</t>
  </si>
  <si>
    <t>产值现金流入比</t>
  </si>
  <si>
    <t>成本资金收入比</t>
  </si>
  <si>
    <t>成本资金支出比</t>
  </si>
  <si>
    <t>收入合计
（总）</t>
  </si>
  <si>
    <t>借款收入</t>
  </si>
  <si>
    <t>保证金收入</t>
  </si>
  <si>
    <t>其他收入</t>
  </si>
  <si>
    <t>支出合计
（总）</t>
  </si>
  <si>
    <t>成本支出</t>
  </si>
  <si>
    <t>借款本金返还</t>
  </si>
  <si>
    <t>保证金支出</t>
  </si>
  <si>
    <t>项目往来借支款</t>
  </si>
  <si>
    <t>资金流</t>
  </si>
  <si>
    <t>项目经营性资金流</t>
  </si>
  <si>
    <t>业主已确认</t>
  </si>
  <si>
    <t>业主待确认</t>
  </si>
  <si>
    <t>合计</t>
  </si>
  <si>
    <t>累计应收工程款</t>
  </si>
  <si>
    <t>应收比例（%）</t>
  </si>
  <si>
    <t>累计已收工程款</t>
  </si>
  <si>
    <t>收款比例（%）</t>
  </si>
  <si>
    <t>已确认</t>
  </si>
  <si>
    <t>待确认</t>
  </si>
  <si>
    <t>其中:人工费</t>
  </si>
  <si>
    <t>应付款
（合约）</t>
  </si>
  <si>
    <t>其中：应付未付款人工费（100%）</t>
  </si>
  <si>
    <t>应付未付款
（不含待确成本）</t>
  </si>
  <si>
    <t>应付未付款
（待确成本）</t>
  </si>
  <si>
    <t>小计</t>
  </si>
  <si>
    <t>利润额</t>
  </si>
  <si>
    <t>利润率
（%）</t>
  </si>
  <si>
    <t>已确认产值/总产值</t>
  </si>
  <si>
    <t>业主已收款/已确认产值</t>
  </si>
  <si>
    <t>已确认产值/总成本</t>
  </si>
  <si>
    <t>已确认成本/总成本</t>
  </si>
  <si>
    <t>总收入/总产值</t>
  </si>
  <si>
    <t>总收入/总成本</t>
  </si>
  <si>
    <t>总支出/总成本</t>
  </si>
  <si>
    <t>业主计量收入</t>
  </si>
  <si>
    <t>业主代扣代缴</t>
  </si>
  <si>
    <t>奖罚款</t>
  </si>
  <si>
    <t>甲指分包</t>
  </si>
  <si>
    <t>甲供材</t>
  </si>
  <si>
    <t>总包管理费收入</t>
  </si>
  <si>
    <t>业主收款小计</t>
  </si>
  <si>
    <t>其中：抵房</t>
  </si>
  <si>
    <t>其中：专户收入</t>
  </si>
  <si>
    <t>公司现金借款</t>
  </si>
  <si>
    <t>公司票据借款</t>
  </si>
  <si>
    <t>内部项目资金拆借收入</t>
  </si>
  <si>
    <t>自筹往来款</t>
  </si>
  <si>
    <t>公司结算中心存款利息收入</t>
  </si>
  <si>
    <t>借款小计</t>
  </si>
  <si>
    <t>收取分供方保证金</t>
  </si>
  <si>
    <t>业主保证返还收入</t>
  </si>
  <si>
    <t>其他保证金收入</t>
  </si>
  <si>
    <t>保证金小计</t>
  </si>
  <si>
    <t>劳务分包</t>
  </si>
  <si>
    <t>专业分包</t>
  </si>
  <si>
    <t>材料、设备</t>
  </si>
  <si>
    <t>机械设备租赁</t>
  </si>
  <si>
    <t>周转材料租赁</t>
  </si>
  <si>
    <t>安全文明施工费</t>
  </si>
  <si>
    <t>其他直接费</t>
  </si>
  <si>
    <t>间接成本</t>
  </si>
  <si>
    <t>财务成本</t>
  </si>
  <si>
    <t>税金</t>
  </si>
  <si>
    <t>公司管理费</t>
  </si>
  <si>
    <t>成本支出小计</t>
  </si>
  <si>
    <t>内部项目资金拆借本金返还支出</t>
  </si>
  <si>
    <t>公司借款本金返还支出</t>
  </si>
  <si>
    <t>公司借票据返还（兑付）</t>
  </si>
  <si>
    <t>自筹往来款返还支出</t>
  </si>
  <si>
    <t>分供方保证金返还支出</t>
  </si>
  <si>
    <t>业主保证金支出</t>
  </si>
  <si>
    <t>其他保证金支出</t>
  </si>
  <si>
    <t>项目往来借支款（包括项目部备用金）</t>
  </si>
  <si>
    <t>总收入-总支出</t>
  </si>
  <si>
    <t>业主收款-成本支出</t>
  </si>
  <si>
    <t>往来收入</t>
  </si>
  <si>
    <t>往来支出</t>
  </si>
  <si>
    <t>计算编号</t>
  </si>
  <si>
    <t>1.3=1.1+1.2</t>
  </si>
  <si>
    <t>1.4=1.10-1.1</t>
  </si>
  <si>
    <t>1.5=1.11-1.2</t>
  </si>
  <si>
    <t>1.6=1.4+1.5</t>
  </si>
  <si>
    <t>1.9=1.7+1.8</t>
  </si>
  <si>
    <t>1.10</t>
  </si>
  <si>
    <t>1.11</t>
  </si>
  <si>
    <t>1.12=1.10+1.11</t>
  </si>
  <si>
    <t>2.1</t>
  </si>
  <si>
    <t>2.2=2.1/1.10</t>
  </si>
  <si>
    <t>2.3</t>
  </si>
  <si>
    <t>2.4=2.3/1.10</t>
  </si>
  <si>
    <t>2.5=2.1-2.3</t>
  </si>
  <si>
    <t>2.6=1.10-2.3</t>
  </si>
  <si>
    <t>3.1</t>
  </si>
  <si>
    <t>3.2</t>
  </si>
  <si>
    <t>3.3=3.1+3.2</t>
  </si>
  <si>
    <t>3.3.1</t>
  </si>
  <si>
    <t>3.4</t>
  </si>
  <si>
    <t>3.5</t>
  </si>
  <si>
    <t>3.6=3.4+3.5</t>
  </si>
  <si>
    <t>4.1</t>
  </si>
  <si>
    <t>4.2</t>
  </si>
  <si>
    <t>4.3=4.1-4.2</t>
  </si>
  <si>
    <t>5.1=1.12-3.3</t>
  </si>
  <si>
    <t>5.2=5.1/1.12</t>
  </si>
  <si>
    <t>5.3=1.10-3.1</t>
  </si>
  <si>
    <t>5.4=5.3/1.10</t>
  </si>
  <si>
    <t>6.1=1.10/1.12</t>
  </si>
  <si>
    <t>6.2=2.3/1.10</t>
  </si>
  <si>
    <t>6.3=1.10/3.3</t>
  </si>
  <si>
    <t>6.4=3.1/3.3</t>
  </si>
  <si>
    <t>6.5=7.1/1.12</t>
  </si>
  <si>
    <t>6.6=7.1/3.3</t>
  </si>
  <si>
    <t>6.7=8.1/3.3</t>
  </si>
  <si>
    <t>7.1=7.2+7.3+7.4+7.5</t>
  </si>
  <si>
    <t>7.2.1</t>
  </si>
  <si>
    <t>7.2.2</t>
  </si>
  <si>
    <t>7.2.3</t>
  </si>
  <si>
    <t>7.2.4</t>
  </si>
  <si>
    <t>7.2.5</t>
  </si>
  <si>
    <t>7.2.6</t>
  </si>
  <si>
    <t>7.2.7</t>
  </si>
  <si>
    <t>7.2=7.2.1+...+7.2.7</t>
  </si>
  <si>
    <t>7.2.8</t>
  </si>
  <si>
    <t>7.2.9</t>
  </si>
  <si>
    <t>7.3.1</t>
  </si>
  <si>
    <t>7.3.2</t>
  </si>
  <si>
    <t>7.3.3</t>
  </si>
  <si>
    <t>7.3.4</t>
  </si>
  <si>
    <t>7.3.5</t>
  </si>
  <si>
    <t>7.3=7.3.1+...+7.3.5</t>
  </si>
  <si>
    <t>7.4.1</t>
  </si>
  <si>
    <t>7.4.2</t>
  </si>
  <si>
    <t>7.4.3</t>
  </si>
  <si>
    <t>7.4=7.4.1+...+7.4.3</t>
  </si>
  <si>
    <t>7.5</t>
  </si>
  <si>
    <t>8.1=8.2+...+8.5</t>
  </si>
  <si>
    <t>8.2.1</t>
  </si>
  <si>
    <t>8.2.2</t>
  </si>
  <si>
    <t>8.2.3</t>
  </si>
  <si>
    <t>8.2.4</t>
  </si>
  <si>
    <t>8.2.5</t>
  </si>
  <si>
    <t>8.2.6</t>
  </si>
  <si>
    <t>8.2.7</t>
  </si>
  <si>
    <t>8.2.8</t>
  </si>
  <si>
    <t>8.2.9</t>
  </si>
  <si>
    <t>8.2.10</t>
  </si>
  <si>
    <t>8.2.11</t>
  </si>
  <si>
    <t>8.2=8.2.1+...+8.2.11</t>
  </si>
  <si>
    <t>8.3.1</t>
  </si>
  <si>
    <t>8.3.2</t>
  </si>
  <si>
    <t>8.3.3</t>
  </si>
  <si>
    <t>8.3.4</t>
  </si>
  <si>
    <t>8.3=8.3.1+...+8.3.4</t>
  </si>
  <si>
    <t>8.4.1</t>
  </si>
  <si>
    <t>8.4.2</t>
  </si>
  <si>
    <t>8.4.3</t>
  </si>
  <si>
    <t>8.4.4=8.4.1+...8.4.3</t>
  </si>
  <si>
    <t>8.5</t>
  </si>
  <si>
    <t>9.1=7.1-8.1</t>
  </si>
  <si>
    <t>9.2=7.2-8.2</t>
  </si>
  <si>
    <t>10.1</t>
  </si>
  <si>
    <t>10.2</t>
  </si>
  <si>
    <t>10.3=10.1+10.2</t>
  </si>
  <si>
    <t>10.4</t>
  </si>
  <si>
    <t>10.5</t>
  </si>
  <si>
    <t>10.6=10.4+10.5</t>
  </si>
  <si>
    <t>10.7</t>
  </si>
  <si>
    <t>10.8</t>
  </si>
  <si>
    <t>10.9=10.7+10.8</t>
  </si>
  <si>
    <t>11.1=9.1+10.3-10.9或10.6</t>
  </si>
  <si>
    <t>11.2=9.2+10.1-10.7或10.4</t>
  </si>
  <si>
    <t>表3.1 - 项目月度业主产值表</t>
  </si>
  <si>
    <t>单位: 元</t>
  </si>
  <si>
    <t>日 期</t>
  </si>
  <si>
    <t>本期产值核定期间</t>
  </si>
  <si>
    <t>二、应收款（合约）
（不考虑付款周期）</t>
  </si>
  <si>
    <t xml:space="preserve">应收款计算结果
</t>
  </si>
  <si>
    <t>详细计算式（以下示例)</t>
  </si>
  <si>
    <t>1.13=1.10+1.11</t>
  </si>
  <si>
    <t>50[安全文明施工费预付款]+100[业主审核产值]*70%[合同约定付款比例]-20[预、其他扣款]</t>
  </si>
  <si>
    <t>填表说明：本表用于按合同约定应收款额计算，要求有详细的计算过程及说明。产值单扫描必须清晰可见
附件：业主确实产值单扫描件，若是结算金额时，可扫描盖章或签字的能反映金额的结算封面即可。</t>
  </si>
  <si>
    <t>表3.1.1 项目月度业主待确产值分析表</t>
  </si>
  <si>
    <t>主要内容</t>
  </si>
  <si>
    <t>须提供与金额相对应的量、价计算文件作为附件支撑，否则对金额不认可</t>
  </si>
  <si>
    <t>表3.2 - 项目月度完全成本、付款明细表</t>
  </si>
  <si>
    <t>建筑面积:</t>
  </si>
  <si>
    <t>管理费率:</t>
  </si>
  <si>
    <t>成本项目</t>
  </si>
  <si>
    <t>代码</t>
  </si>
  <si>
    <t>成本属性</t>
  </si>
  <si>
    <t>级数</t>
  </si>
  <si>
    <t>基本信息</t>
  </si>
  <si>
    <t>自开工累计已发生成本
（完全成本）</t>
  </si>
  <si>
    <t>其中：本月已发生成本（完全成本）</t>
  </si>
  <si>
    <t>成本刚性度
(%)</t>
  </si>
  <si>
    <t>应付款</t>
  </si>
  <si>
    <t>开累已付款</t>
  </si>
  <si>
    <t>应付未付款
（100%）</t>
  </si>
  <si>
    <t>上月资金计划执行情况</t>
  </si>
  <si>
    <t>质保金</t>
  </si>
  <si>
    <t>合同id</t>
  </si>
  <si>
    <t>合同编码</t>
  </si>
  <si>
    <t>合同内容</t>
  </si>
  <si>
    <t>分/供商名称</t>
  </si>
  <si>
    <t>合同总金额</t>
  </si>
  <si>
    <t>付款比例</t>
  </si>
  <si>
    <t>税率
（%）</t>
  </si>
  <si>
    <t>是否办理结算</t>
  </si>
  <si>
    <t>开累已确应付款
（合约）</t>
  </si>
  <si>
    <t>其中:人工费
（100%）</t>
  </si>
  <si>
    <t>比例</t>
  </si>
  <si>
    <t>开累应付未付款
（合约）</t>
  </si>
  <si>
    <t>付款方式</t>
  </si>
  <si>
    <t>付款类型</t>
  </si>
  <si>
    <t>项目支出计划</t>
  </si>
  <si>
    <t>累计付款比例（含本次）</t>
  </si>
  <si>
    <t>公司批准金额</t>
  </si>
  <si>
    <t>批准累计付款比例</t>
  </si>
  <si>
    <t>上月审批数</t>
  </si>
  <si>
    <t>上月执行数</t>
  </si>
  <si>
    <t>是否有质保金</t>
  </si>
  <si>
    <t>质保金金额</t>
  </si>
  <si>
    <t>质保金到期时间</t>
  </si>
  <si>
    <t>1.3.1</t>
  </si>
  <si>
    <t>1.7=1.1/1.3</t>
  </si>
  <si>
    <t>3.2=3.1/1.1</t>
  </si>
  <si>
    <t>4.1=2.1-3.1</t>
  </si>
  <si>
    <t>4.2=2.2-3.1</t>
  </si>
  <si>
    <t>5.1=1.1-3.1</t>
  </si>
  <si>
    <t>5.2=1.2</t>
  </si>
  <si>
    <t>5.3=5.1+5.2</t>
  </si>
  <si>
    <t>6.4=（3.1+6.3）/1.1</t>
  </si>
  <si>
    <t>6.6=（3.1+6.5）/1.1</t>
  </si>
  <si>
    <t>一</t>
  </si>
  <si>
    <t>直接成本</t>
  </si>
  <si>
    <t>540101</t>
  </si>
  <si>
    <t>54010101</t>
  </si>
  <si>
    <t>劳务</t>
  </si>
  <si>
    <t>1.0</t>
  </si>
  <si>
    <t>模板行</t>
  </si>
  <si>
    <t>54010101:1</t>
  </si>
  <si>
    <t>1.999</t>
  </si>
  <si>
    <t>54010102</t>
  </si>
  <si>
    <t>2.0</t>
  </si>
  <si>
    <t>54010102:1</t>
  </si>
  <si>
    <t>2.999</t>
  </si>
  <si>
    <t>54010103</t>
  </si>
  <si>
    <t>3.0</t>
  </si>
  <si>
    <t>54010103:1</t>
  </si>
  <si>
    <t>3.999</t>
  </si>
  <si>
    <t>否</t>
  </si>
  <si>
    <t>54010104</t>
  </si>
  <si>
    <t>4.0</t>
  </si>
  <si>
    <t>54010104:1</t>
  </si>
  <si>
    <t>4.999</t>
  </si>
  <si>
    <t>54010105</t>
  </si>
  <si>
    <t>5.0</t>
  </si>
  <si>
    <t>54010105:1</t>
  </si>
  <si>
    <t>5.999</t>
  </si>
  <si>
    <t>54010106</t>
  </si>
  <si>
    <t>安全文明施工</t>
  </si>
  <si>
    <t>6.0</t>
  </si>
  <si>
    <t>54010106:1</t>
  </si>
  <si>
    <t>6.999</t>
  </si>
  <si>
    <t>54010107</t>
  </si>
  <si>
    <t>7.0</t>
  </si>
  <si>
    <t>54010107:1</t>
  </si>
  <si>
    <t>7.1</t>
  </si>
  <si>
    <t>其它直接费(报销)</t>
  </si>
  <si>
    <t>ZX_WHT_7_BX</t>
  </si>
  <si>
    <t>7.999</t>
  </si>
  <si>
    <t>二</t>
  </si>
  <si>
    <t>540102</t>
  </si>
  <si>
    <t>间接费</t>
  </si>
  <si>
    <t>工资及福利费测算</t>
  </si>
  <si>
    <t>54010201</t>
  </si>
  <si>
    <t>2.1.1</t>
  </si>
  <si>
    <t>工资及福利费（入职）</t>
  </si>
  <si>
    <t>5401020101</t>
  </si>
  <si>
    <t>工资及福利费（派遣）</t>
  </si>
  <si>
    <t>5401020102</t>
  </si>
  <si>
    <t>其他间接费</t>
  </si>
  <si>
    <t>54010202</t>
  </si>
  <si>
    <t>2.2.1</t>
  </si>
  <si>
    <t>职工教育经费</t>
  </si>
  <si>
    <t>5401020201</t>
  </si>
  <si>
    <t>2.2.2</t>
  </si>
  <si>
    <t>工会经费</t>
  </si>
  <si>
    <t>5401020202</t>
  </si>
  <si>
    <t>2.2.3</t>
  </si>
  <si>
    <t>折旧及摊销</t>
  </si>
  <si>
    <t>5401020203</t>
  </si>
  <si>
    <t>2.2.4</t>
  </si>
  <si>
    <t>办公费</t>
  </si>
  <si>
    <t>5401020204</t>
  </si>
  <si>
    <t>2.2.5</t>
  </si>
  <si>
    <t>会议费</t>
  </si>
  <si>
    <t>5401020205</t>
  </si>
  <si>
    <t>2.2.6</t>
  </si>
  <si>
    <t>摊销费</t>
  </si>
  <si>
    <t>5401020206</t>
  </si>
  <si>
    <t>2.2.7</t>
  </si>
  <si>
    <t>汽车费用</t>
  </si>
  <si>
    <t>5401020207</t>
  </si>
  <si>
    <t>2.2.8</t>
  </si>
  <si>
    <t>出国费</t>
  </si>
  <si>
    <t>5401020208</t>
  </si>
  <si>
    <t>2.2.9</t>
  </si>
  <si>
    <t>交通费</t>
  </si>
  <si>
    <t>5401020209</t>
  </si>
  <si>
    <t>2.2.10</t>
  </si>
  <si>
    <t>差旅费</t>
  </si>
  <si>
    <t>5401020210</t>
  </si>
  <si>
    <t>2.2.11</t>
  </si>
  <si>
    <t>租赁费</t>
  </si>
  <si>
    <t>5401020211</t>
  </si>
  <si>
    <t>2.2.12</t>
  </si>
  <si>
    <t>供暖费</t>
  </si>
  <si>
    <t>5401020212</t>
  </si>
  <si>
    <t>2.2.13</t>
  </si>
  <si>
    <t>劳动保护费</t>
  </si>
  <si>
    <t>5401020213</t>
  </si>
  <si>
    <t>2.2.14</t>
  </si>
  <si>
    <t>保安清洁绿化费</t>
  </si>
  <si>
    <t>5401020214</t>
  </si>
  <si>
    <t>2.2.15</t>
  </si>
  <si>
    <t>专业服务费</t>
  </si>
  <si>
    <t>5401020215</t>
  </si>
  <si>
    <t>2.2.16</t>
  </si>
  <si>
    <t>5401020299</t>
  </si>
  <si>
    <t>2.2.17</t>
  </si>
  <si>
    <t>固定资产</t>
  </si>
  <si>
    <t>5401020216</t>
  </si>
  <si>
    <t>2.2.18</t>
  </si>
  <si>
    <t>无证施工罚款、协调费</t>
  </si>
  <si>
    <t>5401020217</t>
  </si>
  <si>
    <t>业务招待费</t>
  </si>
  <si>
    <t>54010203</t>
  </si>
  <si>
    <t>点交费</t>
  </si>
  <si>
    <t>54010204</t>
  </si>
  <si>
    <t>事业部费用分摊</t>
  </si>
  <si>
    <t>54010205</t>
  </si>
  <si>
    <t>奖金</t>
  </si>
  <si>
    <t>54010206</t>
  </si>
  <si>
    <t>三</t>
  </si>
  <si>
    <t>540103</t>
  </si>
  <si>
    <t>财务费用</t>
  </si>
  <si>
    <t>贴现息</t>
  </si>
  <si>
    <t>54010301</t>
  </si>
  <si>
    <t>利息</t>
  </si>
  <si>
    <t>54010302</t>
  </si>
  <si>
    <t>工程抵房预亏（赚）</t>
  </si>
  <si>
    <t>54010303</t>
  </si>
  <si>
    <t>四</t>
  </si>
  <si>
    <t>540104</t>
  </si>
  <si>
    <t>增值税</t>
  </si>
  <si>
    <t>54010401</t>
  </si>
  <si>
    <t>税费</t>
  </si>
  <si>
    <t>附加税</t>
  </si>
  <si>
    <t>54010402</t>
  </si>
  <si>
    <t>印花税</t>
  </si>
  <si>
    <t>54010403</t>
  </si>
  <si>
    <t>万分之三</t>
  </si>
  <si>
    <t>其他税费</t>
  </si>
  <si>
    <t>54010499</t>
  </si>
  <si>
    <t>包括但不限于环境保护税</t>
  </si>
  <si>
    <t>五</t>
  </si>
  <si>
    <t>公司管理费（ %）</t>
  </si>
  <si>
    <t>540105</t>
  </si>
  <si>
    <t>六</t>
  </si>
  <si>
    <t>不可预见费（ %）</t>
  </si>
  <si>
    <t>540106</t>
  </si>
  <si>
    <t>一般风险费</t>
  </si>
  <si>
    <t>七</t>
  </si>
  <si>
    <t>暂列（暂估）金额</t>
  </si>
  <si>
    <t>540107</t>
  </si>
  <si>
    <t>八</t>
  </si>
  <si>
    <t>成本汇总</t>
  </si>
  <si>
    <t>540108</t>
  </si>
  <si>
    <t>总成本</t>
  </si>
  <si>
    <t>九</t>
  </si>
  <si>
    <t>往来资金支出（不计入成本）</t>
  </si>
  <si>
    <t>540120</t>
  </si>
  <si>
    <t>54012001</t>
  </si>
  <si>
    <t>9.1.1</t>
  </si>
  <si>
    <t>5401200101</t>
  </si>
  <si>
    <t>9.1.2</t>
  </si>
  <si>
    <t>5401200102</t>
  </si>
  <si>
    <t>9.1.3</t>
  </si>
  <si>
    <t>5401200103</t>
  </si>
  <si>
    <t>9.1.4</t>
  </si>
  <si>
    <t>5401200104</t>
  </si>
  <si>
    <t>54012002</t>
  </si>
  <si>
    <t>9.2.1</t>
  </si>
  <si>
    <t>5401200201</t>
  </si>
  <si>
    <t>9.2.2</t>
  </si>
  <si>
    <t>5401200202</t>
  </si>
  <si>
    <t>9.2.3</t>
  </si>
  <si>
    <t>5401200299</t>
  </si>
  <si>
    <t>54012003</t>
  </si>
  <si>
    <t>十</t>
  </si>
  <si>
    <t>资金合计（八+九）</t>
  </si>
  <si>
    <t>540190</t>
  </si>
  <si>
    <t>表3.2.1 - 项目月度待确成本分析表</t>
  </si>
  <si>
    <t>待确金额(含税)</t>
  </si>
  <si>
    <t>主要原因分析</t>
  </si>
  <si>
    <t>说明：单项预估金额超过50万元，需提供详细计算式。
预估金额是指统计时点开累未确认成本。</t>
  </si>
  <si>
    <t>项目收支汇总表</t>
  </si>
  <si>
    <t>科目</t>
  </si>
  <si>
    <t>项目金额</t>
  </si>
  <si>
    <t>公司金额</t>
  </si>
  <si>
    <t>1</t>
  </si>
  <si>
    <t>资金余额</t>
  </si>
  <si>
    <t>1.1</t>
  </si>
  <si>
    <t>项目可用资金余额</t>
  </si>
  <si>
    <t>1.2</t>
  </si>
  <si>
    <t>承包人可用资金余额</t>
  </si>
  <si>
    <t>1.3</t>
  </si>
  <si>
    <t>项目不含资金拆借余额</t>
  </si>
  <si>
    <t>2</t>
  </si>
  <si>
    <t>收款金额</t>
  </si>
  <si>
    <t>工程款（业主计量收入）</t>
  </si>
  <si>
    <t>其中: 抵房</t>
  </si>
  <si>
    <t>2.1.2</t>
  </si>
  <si>
    <t>其中: 票据</t>
  </si>
  <si>
    <t>2.1.3</t>
  </si>
  <si>
    <t>其中: 专户收入</t>
  </si>
  <si>
    <t>2.2</t>
  </si>
  <si>
    <t>工程款（甲方代扣代缴）</t>
  </si>
  <si>
    <t>工程款（回款差额）</t>
  </si>
  <si>
    <t>2.4</t>
  </si>
  <si>
    <t>工程款（甲指分包）</t>
  </si>
  <si>
    <t>2.5</t>
  </si>
  <si>
    <t>工程款（甲供材）</t>
  </si>
  <si>
    <t>2.6</t>
  </si>
  <si>
    <t>工程款（奖罚款）</t>
  </si>
  <si>
    <t>2.7</t>
  </si>
  <si>
    <t>总包管理费</t>
  </si>
  <si>
    <t>2.8</t>
  </si>
  <si>
    <t>其他业主收入</t>
  </si>
  <si>
    <t>2.9</t>
  </si>
  <si>
    <t>关联方项目借支</t>
  </si>
  <si>
    <t>2.9.1</t>
  </si>
  <si>
    <t>向其他项目借款流入</t>
  </si>
  <si>
    <t>2.9.2</t>
  </si>
  <si>
    <t>归还其他项目借款流出</t>
  </si>
  <si>
    <t>2.9.3</t>
  </si>
  <si>
    <t>其他项目借款流出</t>
  </si>
  <si>
    <t>2.9.4</t>
  </si>
  <si>
    <t>其他项目借款返还流入</t>
  </si>
  <si>
    <t>2.10</t>
  </si>
  <si>
    <t>公司借支余额</t>
  </si>
  <si>
    <t>2.10.1</t>
  </si>
  <si>
    <t>向公司借款流入</t>
  </si>
  <si>
    <t>2.10.2</t>
  </si>
  <si>
    <t>归还公司借款流出</t>
  </si>
  <si>
    <t>2.10.3</t>
  </si>
  <si>
    <t>借款给公司流出</t>
  </si>
  <si>
    <t>2.10.4</t>
  </si>
  <si>
    <t>公司归还借款流入</t>
  </si>
  <si>
    <t>2.11</t>
  </si>
  <si>
    <t>自筹往来余额</t>
  </si>
  <si>
    <t>2.11.1</t>
  </si>
  <si>
    <t>自筹往来款流入</t>
  </si>
  <si>
    <t>2.11.2</t>
  </si>
  <si>
    <t>自筹往来款流出</t>
  </si>
  <si>
    <t>2.12</t>
  </si>
  <si>
    <t>保证金</t>
  </si>
  <si>
    <t>2.12.1</t>
  </si>
  <si>
    <t>分供方保证金流入</t>
  </si>
  <si>
    <t>2.12.2</t>
  </si>
  <si>
    <t>分供方保证金流出</t>
  </si>
  <si>
    <t>2.12.3</t>
  </si>
  <si>
    <t>业主保证金返还流入</t>
  </si>
  <si>
    <t>2.12.4</t>
  </si>
  <si>
    <t>业主保证金返还流出</t>
  </si>
  <si>
    <t>2.13</t>
  </si>
  <si>
    <t>其他保证金</t>
  </si>
  <si>
    <t>2.13.1</t>
  </si>
  <si>
    <t>其他保证金流入</t>
  </si>
  <si>
    <t>2.13.2</t>
  </si>
  <si>
    <t>其他保证金流出</t>
  </si>
  <si>
    <t>2.14</t>
  </si>
  <si>
    <t>2.15</t>
  </si>
  <si>
    <t>利息收入</t>
  </si>
  <si>
    <t>3</t>
  </si>
  <si>
    <t>扣款金额</t>
  </si>
  <si>
    <t>归属公司部分产值收款</t>
  </si>
  <si>
    <t>上交管理费</t>
  </si>
  <si>
    <t>3.3</t>
  </si>
  <si>
    <t>项目其他扣款</t>
  </si>
  <si>
    <t>其中：资金占用利息</t>
  </si>
  <si>
    <t>4</t>
  </si>
  <si>
    <t>支出总计</t>
  </si>
  <si>
    <t>4.1.1</t>
  </si>
  <si>
    <t>人工材料租赁已付款</t>
  </si>
  <si>
    <t>4.1.2</t>
  </si>
  <si>
    <t>零星采购（未过应付）</t>
  </si>
  <si>
    <t>4.1.3</t>
  </si>
  <si>
    <t>未转回民工工资</t>
  </si>
  <si>
    <t>费用支出</t>
  </si>
  <si>
    <t>4.2.1</t>
  </si>
  <si>
    <t>间接费用</t>
  </si>
  <si>
    <t>4.2.1.1</t>
  </si>
  <si>
    <t>工资</t>
  </si>
  <si>
    <t>4.2.1.2</t>
  </si>
  <si>
    <t>绩效</t>
  </si>
  <si>
    <t>4.2.1.3</t>
  </si>
  <si>
    <t>社保费</t>
  </si>
  <si>
    <t>4.2.1.4</t>
  </si>
  <si>
    <t>劳务费</t>
  </si>
  <si>
    <t>4.2.1.5</t>
  </si>
  <si>
    <t>住房公积金</t>
  </si>
  <si>
    <t>4.2.1.6</t>
  </si>
  <si>
    <t>职工福利费</t>
  </si>
  <si>
    <t>4.2.1.7</t>
  </si>
  <si>
    <t>4.2.1.8</t>
  </si>
  <si>
    <t>4.2.1.9</t>
  </si>
  <si>
    <t>4.2.1.10</t>
  </si>
  <si>
    <t>4.2.1.11</t>
  </si>
  <si>
    <t>4.2.1.12</t>
  </si>
  <si>
    <t>4.2.1.13</t>
  </si>
  <si>
    <t>4.2.1.14</t>
  </si>
  <si>
    <t>4.2.1.15</t>
  </si>
  <si>
    <t>4.2.1.16</t>
  </si>
  <si>
    <t>4.2.1.17</t>
  </si>
  <si>
    <t>4.2.1.18</t>
  </si>
  <si>
    <t>4.2.1.19</t>
  </si>
  <si>
    <t>4.2.1.20</t>
  </si>
  <si>
    <t>4.2.1.21</t>
  </si>
  <si>
    <t>4.2.1.22</t>
  </si>
  <si>
    <t>4.2.1.23</t>
  </si>
  <si>
    <t>4.2.2</t>
  </si>
  <si>
    <t>直接费用</t>
  </si>
  <si>
    <t>4.2.2.1</t>
  </si>
  <si>
    <t>设计费</t>
  </si>
  <si>
    <t>4.2.2.2</t>
  </si>
  <si>
    <t>运输费</t>
  </si>
  <si>
    <t>4.2.2.3</t>
  </si>
  <si>
    <t>检测费</t>
  </si>
  <si>
    <t>4.2.2.4</t>
  </si>
  <si>
    <t>贴现利息</t>
  </si>
  <si>
    <t>4.2.2.5</t>
  </si>
  <si>
    <t>水费</t>
  </si>
  <si>
    <t>4.2.2.6</t>
  </si>
  <si>
    <t>电费</t>
  </si>
  <si>
    <t>4.2.2.7</t>
  </si>
  <si>
    <t>油费（机械用油）</t>
  </si>
  <si>
    <t>4.2.2.8</t>
  </si>
  <si>
    <t>修理费</t>
  </si>
  <si>
    <t>4.2.2.9</t>
  </si>
  <si>
    <t>场地清理费</t>
  </si>
  <si>
    <t>4.2.2.10</t>
  </si>
  <si>
    <t>排污费</t>
  </si>
  <si>
    <t>4.2.2.11</t>
  </si>
  <si>
    <t>综合保险费</t>
  </si>
  <si>
    <t>4.2.2.12</t>
  </si>
  <si>
    <t>保函手续费</t>
  </si>
  <si>
    <t>4.2.2.13</t>
  </si>
  <si>
    <t>保理手续费</t>
  </si>
  <si>
    <t>4.2.2.14</t>
  </si>
  <si>
    <t>其他手续费</t>
  </si>
  <si>
    <t>4.2.2.15</t>
  </si>
  <si>
    <t>环境保护费</t>
  </si>
  <si>
    <t>4.2.2.16</t>
  </si>
  <si>
    <t>生产用低耗品摊销费</t>
  </si>
  <si>
    <t>4.2.2.17</t>
  </si>
  <si>
    <t>4.3</t>
  </si>
  <si>
    <t>其他支出</t>
  </si>
  <si>
    <t>4.3.1</t>
  </si>
  <si>
    <t>个人借支</t>
  </si>
  <si>
    <t>4.3.2</t>
  </si>
  <si>
    <t>4.3.3</t>
  </si>
  <si>
    <t>费用进项税</t>
  </si>
  <si>
    <t>4.3.4</t>
  </si>
  <si>
    <t>待票报销支出</t>
  </si>
  <si>
    <t>4.3.5</t>
  </si>
  <si>
    <t>预提费用</t>
  </si>
  <si>
    <t>4.3.6</t>
  </si>
  <si>
    <t>增值税支出</t>
  </si>
  <si>
    <t>4.3.7</t>
  </si>
  <si>
    <t>附加税费支出</t>
  </si>
  <si>
    <t>4.3.8</t>
  </si>
  <si>
    <t>4.3.9</t>
  </si>
  <si>
    <t>其他税费支出</t>
  </si>
  <si>
    <t>4.3.10</t>
  </si>
  <si>
    <t>企业所得税（预缴）</t>
  </si>
  <si>
    <t>4.3.11</t>
  </si>
  <si>
    <t>4.3.12</t>
  </si>
  <si>
    <t>押金</t>
  </si>
  <si>
    <t>4.3.13</t>
  </si>
  <si>
    <t>物资处置净损益</t>
  </si>
  <si>
    <t>4.3.15</t>
  </si>
  <si>
    <t>5</t>
  </si>
  <si>
    <t>其他</t>
  </si>
  <si>
    <t>5.1</t>
  </si>
  <si>
    <t>管理费费率</t>
  </si>
  <si>
    <t>5.2</t>
  </si>
  <si>
    <t>开累已开发票</t>
  </si>
  <si>
    <t>增值税税负率</t>
  </si>
  <si>
    <t>潘达建工集团有限公司</t>
    <phoneticPr fontId="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</si>
</sst>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0.00_ "/>
    <numFmt numFmtId="177" formatCode="#,##0.00_ "/>
    <numFmt numFmtId="178" formatCode="#,##0.0_ "/>
    <numFmt numFmtId="179" formatCode="yyyy/m/d;@"/>
    <numFmt numFmtId="180" formatCode="#,##0.00_ ;[Red]\-#,##0.00\ "/>
    <numFmt numFmtId="181" formatCode="yyyy&quot;年&quot;m&quot;月&quot;;@"/>
    <numFmt numFmtId="184" formatCode="yyyy\-mm\-dd;@"/>
  </numFmts>
  <fonts count="62">
    <font>
      <sz val="11"/>
      <color theme="1"/>
      <name val="宋体"/>
      <scheme val="minor"/>
    </font>
    <font>
      <sz val="11"/>
      <color indexed="0"/>
      <name val="Calibri"/>
      <family val="2"/>
    </font>
    <font>
      <sz val="11"/>
      <color rgb="FF000000"/>
      <name val="宋体"/>
      <charset val="134"/>
    </font>
    <font>
      <sz val="12"/>
      <name val="宋体"/>
      <charset val="134"/>
    </font>
    <font>
      <sz val="10"/>
      <name val="MS Sans Serif"/>
    </font>
    <font>
      <sz val="10"/>
      <name val="Helv"/>
    </font>
    <font>
      <u/>
      <sz val="11"/>
      <color rgb="FF800080"/>
      <name val="宋体"/>
      <scheme val="minor"/>
    </font>
    <font>
      <sz val="16"/>
      <name val="宋体"/>
      <charset val="134"/>
    </font>
    <font>
      <sz val="16"/>
      <name val="Times New Roman"/>
    </font>
    <font>
      <sz val="12"/>
      <name val="宋体-简"/>
      <family val="1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color theme="1"/>
      <name val="宋体"/>
      <family val="2"/>
      <scheme val="minor"/>
    </font>
    <font>
      <b/>
      <sz val="18"/>
      <color theme="1"/>
      <name val="宋体"/>
      <family val="2"/>
      <scheme val="minor"/>
    </font>
    <font>
      <sz val="10"/>
      <name val="宋体"/>
      <family val="2"/>
      <scheme val="minor"/>
    </font>
    <font>
      <b/>
      <sz val="18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sz val="18"/>
      <color theme="1"/>
      <name val="宋体"/>
      <family val="3"/>
      <charset val="134"/>
    </font>
    <font>
      <b/>
      <sz val="10"/>
      <name val="宋体"/>
      <family val="2"/>
      <scheme val="minor"/>
    </font>
    <font>
      <b/>
      <sz val="10"/>
      <color theme="1"/>
      <name val="宋体"/>
      <family val="2"/>
      <scheme val="minor"/>
    </font>
    <font>
      <sz val="10"/>
      <color theme="0"/>
      <name val="宋体"/>
      <family val="3"/>
      <charset val="134"/>
    </font>
    <font>
      <b/>
      <sz val="16"/>
      <name val="宋体"/>
      <family val="3"/>
      <charset val="134"/>
    </font>
    <font>
      <b/>
      <sz val="18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2"/>
      <name val="宋体"/>
      <family val="2"/>
      <scheme val="minor"/>
    </font>
    <font>
      <sz val="10"/>
      <color rgb="FFFF0000"/>
      <name val="宋体"/>
      <family val="2"/>
      <scheme val="minor"/>
    </font>
    <font>
      <b/>
      <sz val="12"/>
      <color theme="1"/>
      <name val="宋体"/>
      <family val="3"/>
      <charset val="134"/>
    </font>
    <font>
      <b/>
      <sz val="12"/>
      <name val="宋体"/>
      <family val="3"/>
      <charset val="134"/>
    </font>
    <font>
      <sz val="20"/>
      <name val="宋体"/>
      <family val="3"/>
      <charset val="134"/>
    </font>
    <font>
      <sz val="11"/>
      <name val="宋体"/>
      <family val="3"/>
      <charset val="134"/>
    </font>
    <font>
      <sz val="9"/>
      <color theme="1"/>
      <name val="宋体"/>
      <family val="2"/>
      <scheme val="minor"/>
    </font>
    <font>
      <b/>
      <u/>
      <sz val="18"/>
      <name val="宋体"/>
      <family val="3"/>
      <charset val="134"/>
    </font>
    <font>
      <b/>
      <sz val="11"/>
      <name val="宋体"/>
      <family val="3"/>
      <charset val="134"/>
    </font>
    <font>
      <b/>
      <sz val="9"/>
      <name val="宋体"/>
      <family val="3"/>
      <charset val="134"/>
    </font>
    <font>
      <sz val="9"/>
      <color rgb="FFFF0000"/>
      <name val="宋体"/>
      <family val="2"/>
      <scheme val="minor"/>
    </font>
    <font>
      <sz val="18"/>
      <color rgb="FF000000"/>
      <name val="宋体"/>
      <family val="3"/>
      <charset val="134"/>
    </font>
    <font>
      <b/>
      <sz val="24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22"/>
      <color theme="1"/>
      <name val="宋体"/>
      <family val="2"/>
      <scheme val="minor"/>
    </font>
    <font>
      <b/>
      <sz val="30"/>
      <color rgb="FF0070C0"/>
      <name val="黑体"/>
      <family val="3"/>
      <charset val="134"/>
    </font>
    <font>
      <sz val="18"/>
      <color theme="1"/>
      <name val="宋体"/>
      <family val="2"/>
      <scheme val="minor"/>
    </font>
    <font>
      <u/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b/>
      <sz val="12"/>
      <name val="Calibri"/>
      <family val="2"/>
    </font>
    <font>
      <sz val="10"/>
      <color rgb="FF000000"/>
      <name val="宋体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宋体"/>
      <family val="3"/>
      <charset val="134"/>
      <scheme val="minor"/>
    </font>
    <font>
      <u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Microsoft YaHei"/>
      <charset val="134"/>
    </font>
    <font>
      <sz val="9"/>
      <color indexed="81"/>
      <name val="Arial"/>
      <family val="2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FEBCCC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D8D8D8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rgb="FFA5A5A5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4">
    <xf numFmtId="0" fontId="0" fillId="0" borderId="0" applyFill="0" applyBorder="0">
      <alignment vertical="center"/>
    </xf>
    <xf numFmtId="9" fontId="1" fillId="0" borderId="0" applyFont="0" applyFill="0" applyBorder="0">
      <alignment vertical="top"/>
    </xf>
    <xf numFmtId="0" fontId="2" fillId="0" borderId="0" applyFill="0" applyBorder="0">
      <alignment vertical="center"/>
    </xf>
    <xf numFmtId="0" fontId="3" fillId="0" borderId="0" applyFill="0" applyBorder="0"/>
    <xf numFmtId="0" fontId="55" fillId="0" borderId="0" applyFill="0" applyBorder="0">
      <alignment vertical="center"/>
    </xf>
    <xf numFmtId="0" fontId="4" fillId="0" borderId="0" applyFill="0" applyBorder="0"/>
    <xf numFmtId="0" fontId="5" fillId="0" borderId="0" applyFill="0" applyBorder="0"/>
    <xf numFmtId="0" fontId="3" fillId="0" borderId="0" applyFill="0" applyBorder="0">
      <alignment vertical="center"/>
    </xf>
    <xf numFmtId="0" fontId="1" fillId="0" borderId="0" applyFont="0" applyFill="0" applyBorder="0">
      <alignment vertical="top"/>
    </xf>
    <xf numFmtId="0" fontId="4" fillId="0" borderId="0" applyFill="0" applyBorder="0">
      <protection locked="0"/>
    </xf>
    <xf numFmtId="0" fontId="2" fillId="0" borderId="0" applyFill="0" applyBorder="0"/>
    <xf numFmtId="9" fontId="1" fillId="0" borderId="0" applyFont="0" applyFill="0" applyBorder="0">
      <alignment vertical="top"/>
    </xf>
    <xf numFmtId="43" fontId="1" fillId="0" borderId="0" applyFont="0" applyFill="0" applyBorder="0">
      <alignment vertical="top"/>
    </xf>
    <xf numFmtId="0" fontId="6" fillId="0" borderId="0" applyFill="0" applyBorder="0">
      <alignment vertical="top"/>
    </xf>
  </cellStyleXfs>
  <cellXfs count="456">
    <xf numFmtId="0" fontId="0" fillId="0" borderId="0" xfId="0">
      <alignment vertical="center"/>
    </xf>
    <xf numFmtId="0" fontId="0" fillId="3" borderId="0" xfId="0" applyFill="1" applyAlignment="1"/>
    <xf numFmtId="0" fontId="0" fillId="0" borderId="0" xfId="0" applyAlignment="1"/>
    <xf numFmtId="0" fontId="9" fillId="4" borderId="2" xfId="0" applyFont="1" applyFill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76" fontId="11" fillId="3" borderId="3" xfId="0" applyNumberFormat="1" applyFont="1" applyFill="1" applyBorder="1">
      <alignment vertical="center"/>
    </xf>
    <xf numFmtId="0" fontId="10" fillId="3" borderId="3" xfId="0" applyFont="1" applyFill="1" applyBorder="1" applyProtection="1">
      <alignment vertical="center"/>
      <protection locked="0"/>
    </xf>
    <xf numFmtId="0" fontId="12" fillId="3" borderId="3" xfId="0" applyFont="1" applyFill="1" applyBorder="1" applyProtection="1">
      <alignment vertical="center"/>
      <protection locked="0"/>
    </xf>
    <xf numFmtId="43" fontId="11" fillId="3" borderId="3" xfId="0" applyNumberFormat="1" applyFont="1" applyFill="1" applyBorder="1">
      <alignment vertical="center"/>
    </xf>
    <xf numFmtId="43" fontId="11" fillId="3" borderId="3" xfId="0" applyNumberFormat="1" applyFont="1" applyFill="1" applyBorder="1" applyAlignment="1">
      <alignment horizontal="right" vertical="center"/>
    </xf>
    <xf numFmtId="43" fontId="10" fillId="3" borderId="3" xfId="0" applyNumberFormat="1" applyFont="1" applyFill="1" applyBorder="1" applyAlignment="1">
      <alignment horizontal="right" vertical="center"/>
    </xf>
    <xf numFmtId="0" fontId="10" fillId="3" borderId="3" xfId="0" applyFont="1" applyFill="1" applyBorder="1">
      <alignment vertical="center"/>
    </xf>
    <xf numFmtId="0" fontId="13" fillId="3" borderId="3" xfId="0" applyFont="1" applyFill="1" applyBorder="1" applyProtection="1">
      <alignment vertical="center"/>
      <protection locked="0"/>
    </xf>
    <xf numFmtId="43" fontId="11" fillId="3" borderId="3" xfId="0" applyNumberFormat="1" applyFont="1" applyFill="1" applyBorder="1" applyAlignment="1">
      <alignment horizontal="center" vertical="center"/>
    </xf>
    <xf numFmtId="43" fontId="10" fillId="3" borderId="3" xfId="0" applyNumberFormat="1" applyFont="1" applyFill="1" applyBorder="1" applyAlignment="1">
      <alignment horizontal="center" vertical="center"/>
    </xf>
    <xf numFmtId="10" fontId="10" fillId="3" borderId="3" xfId="1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0" xfId="0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>
      <alignment vertical="center"/>
    </xf>
    <xf numFmtId="0" fontId="17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0" fontId="18" fillId="0" borderId="0" xfId="0" applyNumberFormat="1" applyFont="1">
      <alignment vertical="center"/>
    </xf>
    <xf numFmtId="0" fontId="12" fillId="4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left" vertical="center"/>
    </xf>
    <xf numFmtId="0" fontId="19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10" fontId="12" fillId="5" borderId="3" xfId="0" applyNumberFormat="1" applyFont="1" applyFill="1" applyBorder="1" applyAlignment="1">
      <alignment horizontal="center" vertical="center" wrapText="1"/>
    </xf>
    <xf numFmtId="176" fontId="12" fillId="5" borderId="3" xfId="0" applyNumberFormat="1" applyFont="1" applyFill="1" applyBorder="1" applyAlignment="1">
      <alignment horizontal="center" vertical="center" wrapText="1"/>
    </xf>
    <xf numFmtId="0" fontId="16" fillId="4" borderId="3" xfId="0" applyFont="1" applyFill="1" applyBorder="1" applyAlignment="1" applyProtection="1">
      <alignment horizontal="center" vertical="center" wrapText="1"/>
      <protection locked="0"/>
    </xf>
    <xf numFmtId="49" fontId="16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3" xfId="0" applyFont="1" applyFill="1" applyBorder="1" applyAlignment="1">
      <alignment horizontal="left" vertical="center" wrapText="1"/>
    </xf>
    <xf numFmtId="0" fontId="18" fillId="4" borderId="3" xfId="0" applyFont="1" applyFill="1" applyBorder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176" fontId="12" fillId="5" borderId="3" xfId="0" applyNumberFormat="1" applyFont="1" applyFill="1" applyBorder="1" applyAlignment="1">
      <alignment horizontal="left" vertical="center" wrapText="1"/>
    </xf>
    <xf numFmtId="10" fontId="18" fillId="5" borderId="3" xfId="0" applyNumberFormat="1" applyFont="1" applyFill="1" applyBorder="1" applyAlignment="1">
      <alignment horizontal="center" vertical="center" wrapText="1"/>
    </xf>
    <xf numFmtId="176" fontId="18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24" fillId="4" borderId="3" xfId="0" applyFont="1" applyFill="1" applyBorder="1" applyAlignment="1">
      <alignment horizontal="center" vertical="center"/>
    </xf>
    <xf numFmtId="176" fontId="14" fillId="3" borderId="3" xfId="0" applyNumberFormat="1" applyFont="1" applyFill="1" applyBorder="1">
      <alignment vertical="center"/>
    </xf>
    <xf numFmtId="0" fontId="14" fillId="3" borderId="3" xfId="0" applyFont="1" applyFill="1" applyBorder="1" applyAlignment="1">
      <alignment vertical="center" wrapText="1"/>
    </xf>
    <xf numFmtId="0" fontId="26" fillId="0" borderId="0" xfId="0" applyFont="1">
      <alignment vertical="center"/>
    </xf>
    <xf numFmtId="0" fontId="12" fillId="0" borderId="0" xfId="0" applyFont="1" applyAlignment="1"/>
    <xf numFmtId="0" fontId="3" fillId="0" borderId="0" xfId="0" applyFont="1">
      <alignment vertical="center"/>
    </xf>
    <xf numFmtId="0" fontId="12" fillId="3" borderId="3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>
      <alignment vertical="center"/>
    </xf>
    <xf numFmtId="0" fontId="12" fillId="0" borderId="3" xfId="0" applyFont="1" applyBorder="1" applyAlignment="1" applyProtection="1">
      <alignment horizontal="left" vertical="center" wrapText="1"/>
      <protection locked="0"/>
    </xf>
    <xf numFmtId="0" fontId="16" fillId="3" borderId="0" xfId="0" applyFont="1" applyFill="1">
      <alignment vertical="center"/>
    </xf>
    <xf numFmtId="0" fontId="14" fillId="3" borderId="0" xfId="0" applyFont="1" applyFill="1">
      <alignment vertical="center"/>
    </xf>
    <xf numFmtId="49" fontId="16" fillId="0" borderId="0" xfId="0" applyNumberFormat="1" applyFont="1">
      <alignment vertical="center"/>
    </xf>
    <xf numFmtId="176" fontId="14" fillId="0" borderId="0" xfId="0" applyNumberFormat="1" applyFont="1">
      <alignment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4" fillId="4" borderId="3" xfId="0" applyFont="1" applyFill="1" applyBorder="1" applyAlignment="1" applyProtection="1">
      <alignment horizontal="center" vertical="center" wrapText="1"/>
      <protection locked="0"/>
    </xf>
    <xf numFmtId="49" fontId="16" fillId="4" borderId="3" xfId="0" applyNumberFormat="1" applyFont="1" applyFill="1" applyBorder="1" applyAlignment="1">
      <alignment horizontal="center" vertical="center"/>
    </xf>
    <xf numFmtId="176" fontId="14" fillId="0" borderId="3" xfId="0" applyNumberFormat="1" applyFont="1" applyBorder="1" applyAlignment="1">
      <alignment horizontal="center" vertical="center"/>
    </xf>
    <xf numFmtId="176" fontId="14" fillId="3" borderId="3" xfId="0" applyNumberFormat="1" applyFont="1" applyFill="1" applyBorder="1" applyAlignment="1">
      <alignment horizontal="center" vertical="center"/>
    </xf>
    <xf numFmtId="0" fontId="33" fillId="0" borderId="0" xfId="0" applyFont="1" applyAlignment="1"/>
    <xf numFmtId="0" fontId="20" fillId="0" borderId="0" xfId="0" applyFont="1" applyAlignment="1"/>
    <xf numFmtId="0" fontId="34" fillId="0" borderId="0" xfId="0" applyFont="1" applyAlignment="1"/>
    <xf numFmtId="0" fontId="35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2" fillId="3" borderId="3" xfId="2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top" wrapText="1"/>
    </xf>
    <xf numFmtId="0" fontId="35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top"/>
    </xf>
    <xf numFmtId="0" fontId="16" fillId="3" borderId="3" xfId="0" applyFont="1" applyFill="1" applyBorder="1" applyAlignment="1">
      <alignment horizontal="left" vertical="top" wrapText="1"/>
    </xf>
    <xf numFmtId="0" fontId="35" fillId="3" borderId="3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/>
    <xf numFmtId="0" fontId="12" fillId="4" borderId="3" xfId="2" applyFont="1" applyFill="1" applyBorder="1" applyAlignment="1">
      <alignment horizontal="center" vertical="center"/>
    </xf>
    <xf numFmtId="176" fontId="12" fillId="0" borderId="3" xfId="2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 wrapText="1"/>
    </xf>
    <xf numFmtId="0" fontId="12" fillId="0" borderId="3" xfId="10" applyFont="1" applyBorder="1" applyAlignment="1">
      <alignment horizontal="center" vertical="center" wrapText="1"/>
    </xf>
    <xf numFmtId="176" fontId="12" fillId="0" borderId="3" xfId="0" applyNumberFormat="1" applyFont="1" applyBorder="1" applyAlignment="1">
      <alignment vertical="center" wrapText="1"/>
    </xf>
    <xf numFmtId="0" fontId="40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9" fillId="5" borderId="3" xfId="0" quotePrefix="1" applyFont="1" applyFill="1" applyBorder="1" applyAlignment="1">
      <alignment horizontal="left" vertical="center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0" fontId="46" fillId="0" borderId="0" xfId="0" applyFont="1" applyAlignment="1" applyProtection="1">
      <alignment horizontal="right" vertical="center"/>
      <protection locked="0"/>
    </xf>
    <xf numFmtId="0" fontId="42" fillId="0" borderId="0" xfId="0" applyFont="1" applyAlignment="1" applyProtection="1">
      <alignment horizontal="left" vertical="center"/>
      <protection locked="0"/>
    </xf>
    <xf numFmtId="0" fontId="2" fillId="0" borderId="0" xfId="0" applyFont="1" applyProtection="1">
      <alignment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48" fillId="0" borderId="0" xfId="0" applyFont="1" applyAlignment="1" applyProtection="1">
      <alignment horizontal="center" vertical="center" wrapText="1"/>
      <protection locked="0"/>
    </xf>
    <xf numFmtId="181" fontId="48" fillId="0" borderId="0" xfId="0" applyNumberFormat="1" applyFont="1" applyAlignment="1" applyProtection="1">
      <alignment horizontal="center" vertical="center"/>
      <protection locked="0"/>
    </xf>
    <xf numFmtId="0" fontId="48" fillId="0" borderId="0" xfId="0" applyFont="1" applyAlignment="1">
      <alignment horizontal="right" vertical="center"/>
    </xf>
    <xf numFmtId="0" fontId="12" fillId="4" borderId="3" xfId="0" applyFont="1" applyFill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4" fontId="12" fillId="0" borderId="3" xfId="0" applyNumberFormat="1" applyFont="1" applyBorder="1" applyAlignment="1">
      <alignment horizontal="center" vertical="center"/>
    </xf>
    <xf numFmtId="4" fontId="12" fillId="0" borderId="3" xfId="0" applyNumberFormat="1" applyFont="1" applyBorder="1" applyAlignment="1" applyProtection="1">
      <alignment horizontal="center" vertical="center" wrapText="1"/>
      <protection locked="0"/>
    </xf>
    <xf numFmtId="0" fontId="12" fillId="4" borderId="3" xfId="0" applyFont="1" applyFill="1" applyBorder="1" applyAlignment="1" applyProtection="1">
      <alignment horizontal="center" vertical="center" wrapText="1"/>
      <protection locked="0"/>
    </xf>
    <xf numFmtId="4" fontId="12" fillId="0" borderId="3" xfId="0" applyNumberFormat="1" applyFont="1" applyBorder="1" applyAlignment="1" applyProtection="1">
      <alignment horizontal="center" vertical="center"/>
      <protection locked="0"/>
    </xf>
    <xf numFmtId="0" fontId="12" fillId="4" borderId="3" xfId="0" applyFont="1" applyFill="1" applyBorder="1" applyProtection="1">
      <alignment vertical="center"/>
      <protection locked="0"/>
    </xf>
    <xf numFmtId="4" fontId="12" fillId="0" borderId="3" xfId="0" applyNumberFormat="1" applyFont="1" applyBorder="1" applyAlignment="1">
      <alignment horizontal="center" vertical="center" wrapText="1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4" fontId="13" fillId="0" borderId="3" xfId="0" applyNumberFormat="1" applyFont="1" applyBorder="1" applyAlignment="1" applyProtection="1">
      <alignment horizontal="center" vertical="center" wrapText="1"/>
      <protection locked="0"/>
    </xf>
    <xf numFmtId="4" fontId="13" fillId="0" borderId="3" xfId="0" applyNumberFormat="1" applyFont="1" applyBorder="1" applyAlignment="1">
      <alignment horizontal="center" vertical="center"/>
    </xf>
    <xf numFmtId="49" fontId="12" fillId="4" borderId="3" xfId="0" applyNumberFormat="1" applyFont="1" applyFill="1" applyBorder="1" applyAlignment="1" applyProtection="1">
      <alignment horizontal="center" vertical="center" wrapText="1"/>
      <protection locked="0"/>
    </xf>
    <xf numFmtId="176" fontId="12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10" fontId="12" fillId="0" borderId="3" xfId="0" applyNumberFormat="1" applyFont="1" applyBorder="1" applyAlignment="1" applyProtection="1">
      <alignment horizontal="center" vertical="center" wrapText="1"/>
      <protection locked="0"/>
    </xf>
    <xf numFmtId="0" fontId="12" fillId="3" borderId="3" xfId="0" applyFont="1" applyFill="1" applyBorder="1" applyAlignment="1" applyProtection="1">
      <alignment horizontal="center" vertical="center" wrapText="1"/>
      <protection locked="0"/>
    </xf>
    <xf numFmtId="0" fontId="48" fillId="0" borderId="0" xfId="0" applyFont="1" applyAlignment="1" applyProtection="1">
      <alignment horizontal="center" vertical="center"/>
      <protection locked="0"/>
    </xf>
    <xf numFmtId="0" fontId="20" fillId="4" borderId="3" xfId="0" applyFont="1" applyFill="1" applyBorder="1" applyAlignment="1" applyProtection="1">
      <alignment horizontal="center" vertical="center" wrapText="1"/>
      <protection locked="0"/>
    </xf>
    <xf numFmtId="0" fontId="35" fillId="4" borderId="3" xfId="0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4" fillId="4" borderId="3" xfId="0" applyFont="1" applyFill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4" fontId="14" fillId="0" borderId="3" xfId="0" applyNumberFormat="1" applyFont="1" applyBorder="1" applyAlignment="1" applyProtection="1">
      <alignment horizontal="center" vertical="center" wrapText="1"/>
      <protection locked="0"/>
    </xf>
    <xf numFmtId="0" fontId="12" fillId="3" borderId="3" xfId="0" applyFont="1" applyFill="1" applyBorder="1" applyAlignment="1" applyProtection="1">
      <alignment horizontal="left" vertical="top" wrapText="1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10" fontId="14" fillId="0" borderId="3" xfId="0" applyNumberFormat="1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2" fillId="3" borderId="6" xfId="0" applyFont="1" applyFill="1" applyBorder="1" applyAlignment="1" applyProtection="1">
      <alignment horizontal="left" vertical="top" wrapText="1"/>
      <protection locked="0"/>
    </xf>
    <xf numFmtId="0" fontId="12" fillId="3" borderId="8" xfId="0" applyFont="1" applyFill="1" applyBorder="1" applyAlignment="1" applyProtection="1">
      <alignment horizontal="left" vertical="top" wrapText="1"/>
      <protection locked="0"/>
    </xf>
    <xf numFmtId="0" fontId="12" fillId="3" borderId="6" xfId="0" applyFont="1" applyFill="1" applyBorder="1" applyAlignment="1" applyProtection="1">
      <alignment horizontal="left" vertical="top"/>
      <protection locked="0"/>
    </xf>
    <xf numFmtId="0" fontId="12" fillId="3" borderId="8" xfId="0" applyFont="1" applyFill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4" fillId="3" borderId="3" xfId="0" applyFont="1" applyFill="1" applyBorder="1" applyAlignment="1" applyProtection="1">
      <alignment horizontal="left" vertical="top" wrapText="1"/>
      <protection locked="0"/>
    </xf>
    <xf numFmtId="0" fontId="20" fillId="0" borderId="3" xfId="0" applyFont="1" applyBorder="1" applyAlignment="1" applyProtection="1">
      <alignment horizontal="center" vertical="center" wrapText="1"/>
      <protection locked="0"/>
    </xf>
    <xf numFmtId="0" fontId="35" fillId="0" borderId="3" xfId="0" applyFont="1" applyBorder="1" applyAlignment="1" applyProtection="1">
      <alignment horizontal="center" vertical="center" wrapText="1"/>
      <protection locked="0"/>
    </xf>
    <xf numFmtId="4" fontId="35" fillId="3" borderId="3" xfId="0" applyNumberFormat="1" applyFont="1" applyFill="1" applyBorder="1" applyAlignment="1" applyProtection="1">
      <alignment horizontal="center" vertical="center"/>
      <protection locked="0"/>
    </xf>
    <xf numFmtId="4" fontId="35" fillId="0" borderId="3" xfId="0" applyNumberFormat="1" applyFont="1" applyBorder="1" applyAlignment="1" applyProtection="1">
      <alignment horizontal="center" vertical="center"/>
      <protection locked="0"/>
    </xf>
    <xf numFmtId="0" fontId="20" fillId="3" borderId="3" xfId="0" applyFont="1" applyFill="1" applyBorder="1" applyAlignment="1" applyProtection="1">
      <alignment horizontal="left" vertical="center" wrapText="1"/>
      <protection locked="0"/>
    </xf>
    <xf numFmtId="176" fontId="35" fillId="0" borderId="3" xfId="0" applyNumberFormat="1" applyFont="1" applyBorder="1" applyAlignment="1" applyProtection="1">
      <alignment horizontal="center" vertical="center" wrapText="1"/>
      <protection locked="0"/>
    </xf>
    <xf numFmtId="4" fontId="39" fillId="3" borderId="3" xfId="0" applyNumberFormat="1" applyFont="1" applyFill="1" applyBorder="1" applyAlignment="1" applyProtection="1">
      <alignment horizontal="center" vertical="center" wrapText="1"/>
      <protection locked="0"/>
    </xf>
    <xf numFmtId="176" fontId="39" fillId="0" borderId="3" xfId="0" applyNumberFormat="1" applyFont="1" applyBorder="1" applyAlignment="1" applyProtection="1">
      <alignment horizontal="center" vertical="center"/>
      <protection locked="0"/>
    </xf>
    <xf numFmtId="4" fontId="39" fillId="3" borderId="3" xfId="0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Protection="1">
      <alignment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right" vertical="center"/>
      <protection locked="0"/>
    </xf>
    <xf numFmtId="177" fontId="15" fillId="0" borderId="0" xfId="0" applyNumberFormat="1" applyFont="1" applyAlignment="1" applyProtection="1">
      <alignment horizontal="center" vertical="center"/>
      <protection locked="0"/>
    </xf>
    <xf numFmtId="0" fontId="49" fillId="0" borderId="0" xfId="0" applyFont="1" applyAlignment="1">
      <alignment horizontal="right" vertical="center"/>
    </xf>
    <xf numFmtId="0" fontId="16" fillId="4" borderId="3" xfId="0" applyFont="1" applyFill="1" applyBorder="1" applyAlignment="1" applyProtection="1">
      <alignment horizontal="center" vertical="center"/>
      <protection locked="0"/>
    </xf>
    <xf numFmtId="0" fontId="49" fillId="8" borderId="13" xfId="0" applyFont="1" applyFill="1" applyBorder="1" applyAlignment="1" applyProtection="1">
      <alignment horizontal="center" vertical="center"/>
      <protection locked="0"/>
    </xf>
    <xf numFmtId="0" fontId="18" fillId="4" borderId="3" xfId="0" applyFont="1" applyFill="1" applyBorder="1" applyAlignment="1" applyProtection="1">
      <alignment horizontal="center" vertical="center" wrapText="1"/>
      <protection locked="0"/>
    </xf>
    <xf numFmtId="0" fontId="18" fillId="8" borderId="3" xfId="0" applyFont="1" applyFill="1" applyBorder="1" applyAlignment="1" applyProtection="1">
      <alignment horizontal="center" vertical="center" wrapText="1"/>
      <protection locked="0"/>
    </xf>
    <xf numFmtId="0" fontId="14" fillId="8" borderId="3" xfId="0" applyFont="1" applyFill="1" applyBorder="1" applyAlignment="1" applyProtection="1">
      <alignment horizontal="center" vertical="center" wrapText="1"/>
      <protection locked="0"/>
    </xf>
    <xf numFmtId="177" fontId="14" fillId="4" borderId="3" xfId="0" applyNumberFormat="1" applyFont="1" applyFill="1" applyBorder="1" applyAlignment="1" applyProtection="1">
      <alignment horizontal="center" vertical="center" wrapText="1"/>
      <protection locked="0"/>
    </xf>
    <xf numFmtId="10" fontId="18" fillId="4" borderId="3" xfId="0" applyNumberFormat="1" applyFont="1" applyFill="1" applyBorder="1" applyAlignment="1" applyProtection="1">
      <alignment horizontal="center" vertical="center" wrapText="1"/>
      <protection locked="0"/>
    </xf>
    <xf numFmtId="9" fontId="18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14" fillId="8" borderId="13" xfId="0" applyFont="1" applyFill="1" applyBorder="1" applyAlignment="1" applyProtection="1">
      <alignment horizontal="center" vertical="center" wrapText="1"/>
      <protection locked="0"/>
    </xf>
    <xf numFmtId="0" fontId="14" fillId="4" borderId="3" xfId="0" applyFont="1" applyFill="1" applyBorder="1" applyAlignment="1" applyProtection="1">
      <alignment vertical="center" wrapText="1"/>
      <protection locked="0"/>
    </xf>
    <xf numFmtId="177" fontId="14" fillId="4" borderId="3" xfId="0" applyNumberFormat="1" applyFont="1" applyFill="1" applyBorder="1" applyAlignment="1" applyProtection="1">
      <alignment vertical="center" wrapText="1"/>
      <protection locked="0"/>
    </xf>
    <xf numFmtId="49" fontId="16" fillId="4" borderId="3" xfId="0" applyNumberFormat="1" applyFont="1" applyFill="1" applyBorder="1" applyAlignment="1" applyProtection="1">
      <alignment horizontal="center" vertical="center"/>
      <protection locked="0"/>
    </xf>
    <xf numFmtId="0" fontId="16" fillId="8" borderId="13" xfId="0" applyFont="1" applyFill="1" applyBorder="1" applyProtection="1">
      <alignment vertical="center"/>
      <protection locked="0"/>
    </xf>
    <xf numFmtId="49" fontId="48" fillId="8" borderId="13" xfId="0" applyNumberFormat="1" applyFont="1" applyFill="1" applyBorder="1" applyAlignment="1" applyProtection="1">
      <alignment horizontal="left" vertical="center"/>
      <protection locked="0"/>
    </xf>
    <xf numFmtId="49" fontId="30" fillId="4" borderId="3" xfId="0" applyNumberFormat="1" applyFont="1" applyFill="1" applyBorder="1" applyAlignment="1" applyProtection="1">
      <alignment horizontal="center" vertical="center"/>
      <protection locked="0"/>
    </xf>
    <xf numFmtId="49" fontId="14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48" fillId="9" borderId="13" xfId="0" applyNumberFormat="1" applyFont="1" applyFill="1" applyBorder="1" applyAlignment="1" applyProtection="1">
      <alignment horizontal="center" vertical="center"/>
      <protection locked="0"/>
    </xf>
    <xf numFmtId="49" fontId="48" fillId="8" borderId="13" xfId="0" applyNumberFormat="1" applyFont="1" applyFill="1" applyBorder="1" applyAlignment="1" applyProtection="1">
      <alignment horizontal="center" vertical="center"/>
      <protection locked="0"/>
    </xf>
    <xf numFmtId="0" fontId="16" fillId="8" borderId="3" xfId="0" applyFont="1" applyFill="1" applyBorder="1" applyAlignment="1" applyProtection="1">
      <alignment horizontal="center" vertical="center" wrapText="1"/>
      <protection locked="0"/>
    </xf>
    <xf numFmtId="0" fontId="16" fillId="8" borderId="13" xfId="0" applyFont="1" applyFill="1" applyBorder="1" applyAlignment="1" applyProtection="1">
      <alignment horizontal="center" vertical="center"/>
      <protection locked="0"/>
    </xf>
    <xf numFmtId="0" fontId="12" fillId="8" borderId="13" xfId="0" applyFont="1" applyFill="1" applyBorder="1" applyAlignment="1" applyProtection="1">
      <alignment horizontal="center" vertical="center"/>
      <protection locked="0"/>
    </xf>
    <xf numFmtId="49" fontId="18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14" fillId="4" borderId="3" xfId="0" applyNumberFormat="1" applyFont="1" applyFill="1" applyBorder="1" applyAlignment="1" applyProtection="1">
      <alignment horizontal="center" vertical="center"/>
      <protection locked="0"/>
    </xf>
    <xf numFmtId="176" fontId="14" fillId="0" borderId="13" xfId="0" applyNumberFormat="1" applyFont="1" applyBorder="1">
      <alignment vertical="center"/>
    </xf>
    <xf numFmtId="176" fontId="49" fillId="0" borderId="13" xfId="0" applyNumberFormat="1" applyFont="1" applyBorder="1" applyAlignment="1">
      <alignment horizontal="left" vertical="center"/>
    </xf>
    <xf numFmtId="10" fontId="49" fillId="0" borderId="13" xfId="0" applyNumberFormat="1" applyFont="1" applyBorder="1" applyAlignment="1">
      <alignment horizontal="right" vertical="center"/>
    </xf>
    <xf numFmtId="0" fontId="14" fillId="0" borderId="13" xfId="0" applyFont="1" applyBorder="1">
      <alignment vertical="center"/>
    </xf>
    <xf numFmtId="179" fontId="51" fillId="3" borderId="3" xfId="0" applyNumberFormat="1" applyFont="1" applyFill="1" applyBorder="1" applyAlignment="1">
      <alignment horizontal="center" vertical="center"/>
    </xf>
    <xf numFmtId="176" fontId="51" fillId="3" borderId="3" xfId="0" applyNumberFormat="1" applyFont="1" applyFill="1" applyBorder="1" applyAlignment="1">
      <alignment horizontal="center" vertical="center"/>
    </xf>
    <xf numFmtId="4" fontId="51" fillId="3" borderId="3" xfId="0" applyNumberFormat="1" applyFont="1" applyFill="1" applyBorder="1" applyAlignment="1">
      <alignment horizontal="center" vertical="center"/>
    </xf>
    <xf numFmtId="4" fontId="16" fillId="0" borderId="3" xfId="0" applyNumberFormat="1" applyFont="1" applyBorder="1" applyAlignment="1">
      <alignment horizontal="center" vertical="center" wrapText="1"/>
    </xf>
    <xf numFmtId="10" fontId="16" fillId="3" borderId="3" xfId="0" applyNumberFormat="1" applyFont="1" applyFill="1" applyBorder="1" applyAlignment="1">
      <alignment horizontal="center" vertical="center" wrapText="1"/>
    </xf>
    <xf numFmtId="4" fontId="16" fillId="3" borderId="3" xfId="0" applyNumberFormat="1" applyFont="1" applyFill="1" applyBorder="1" applyAlignment="1">
      <alignment horizontal="center" vertical="center" wrapText="1"/>
    </xf>
    <xf numFmtId="10" fontId="16" fillId="0" borderId="3" xfId="0" applyNumberFormat="1" applyFont="1" applyBorder="1" applyAlignment="1">
      <alignment horizontal="center" vertical="center" wrapText="1"/>
    </xf>
    <xf numFmtId="4" fontId="49" fillId="0" borderId="13" xfId="0" applyNumberFormat="1" applyFont="1" applyBorder="1" applyAlignment="1">
      <alignment horizontal="center" vertical="center"/>
    </xf>
    <xf numFmtId="176" fontId="49" fillId="0" borderId="13" xfId="0" applyNumberFormat="1" applyFont="1" applyBorder="1" applyAlignment="1">
      <alignment horizontal="center" vertical="center"/>
    </xf>
    <xf numFmtId="4" fontId="16" fillId="10" borderId="3" xfId="0" applyNumberFormat="1" applyFont="1" applyFill="1" applyBorder="1" applyAlignment="1">
      <alignment horizontal="center" vertical="center" wrapText="1"/>
    </xf>
    <xf numFmtId="4" fontId="14" fillId="10" borderId="13" xfId="0" applyNumberFormat="1" applyFont="1" applyFill="1" applyBorder="1" applyAlignment="1">
      <alignment horizontal="center" vertical="center"/>
    </xf>
    <xf numFmtId="4" fontId="49" fillId="10" borderId="13" xfId="0" applyNumberFormat="1" applyFont="1" applyFill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/>
    </xf>
    <xf numFmtId="4" fontId="14" fillId="0" borderId="3" xfId="0" applyNumberFormat="1" applyFont="1" applyBorder="1">
      <alignment vertical="center"/>
    </xf>
    <xf numFmtId="0" fontId="26" fillId="0" borderId="0" xfId="0" applyFo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horizontal="right" vertical="center"/>
      <protection locked="0"/>
    </xf>
    <xf numFmtId="0" fontId="12" fillId="0" borderId="0" xfId="0" applyFont="1" applyProtection="1">
      <alignment vertical="center"/>
      <protection locked="0"/>
    </xf>
    <xf numFmtId="14" fontId="12" fillId="6" borderId="3" xfId="0" applyNumberFormat="1" applyFont="1" applyFill="1" applyBorder="1" applyAlignment="1" applyProtection="1">
      <alignment horizontal="center" vertical="center" wrapText="1"/>
      <protection locked="0"/>
    </xf>
    <xf numFmtId="4" fontId="28" fillId="3" borderId="3" xfId="0" applyNumberFormat="1" applyFont="1" applyFill="1" applyBorder="1" applyAlignment="1" applyProtection="1">
      <alignment horizontal="center" vertical="center"/>
      <protection locked="0"/>
    </xf>
    <xf numFmtId="4" fontId="12" fillId="3" borderId="3" xfId="0" applyNumberFormat="1" applyFont="1" applyFill="1" applyBorder="1" applyAlignment="1" applyProtection="1">
      <alignment horizontal="center" vertical="center" wrapText="1"/>
      <protection locked="0"/>
    </xf>
    <xf numFmtId="4" fontId="12" fillId="3" borderId="3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24" fillId="4" borderId="3" xfId="0" applyFont="1" applyFill="1" applyBorder="1" applyAlignment="1" applyProtection="1">
      <alignment horizontal="center" vertical="center"/>
      <protection locked="0"/>
    </xf>
    <xf numFmtId="0" fontId="14" fillId="0" borderId="13" xfId="0" applyFont="1" applyBorder="1" applyProtection="1">
      <alignment vertical="center"/>
      <protection locked="0"/>
    </xf>
    <xf numFmtId="0" fontId="24" fillId="4" borderId="13" xfId="0" applyFont="1" applyFill="1" applyBorder="1" applyAlignment="1" applyProtection="1">
      <alignment horizontal="center" vertical="center"/>
      <protection locked="0"/>
    </xf>
    <xf numFmtId="0" fontId="14" fillId="0" borderId="3" xfId="0" applyFont="1" applyBorder="1" applyProtection="1">
      <alignment vertical="center"/>
      <protection locked="0"/>
    </xf>
    <xf numFmtId="0" fontId="14" fillId="0" borderId="13" xfId="0" applyFont="1" applyBorder="1" applyAlignment="1" applyProtection="1">
      <alignment horizontal="left" vertical="center" wrapText="1"/>
      <protection locked="0"/>
    </xf>
    <xf numFmtId="0" fontId="14" fillId="3" borderId="13" xfId="0" applyFont="1" applyFill="1" applyBorder="1" applyAlignment="1" applyProtection="1">
      <alignment horizontal="left" vertical="top" wrapText="1"/>
      <protection locked="0"/>
    </xf>
    <xf numFmtId="4" fontId="14" fillId="0" borderId="13" xfId="0" applyNumberFormat="1" applyFont="1" applyBorder="1" applyAlignment="1">
      <alignment horizontal="left" vertical="center"/>
    </xf>
    <xf numFmtId="4" fontId="14" fillId="3" borderId="13" xfId="0" applyNumberFormat="1" applyFont="1" applyFill="1" applyBorder="1" applyAlignment="1">
      <alignment horizontal="left" vertical="center"/>
    </xf>
    <xf numFmtId="0" fontId="49" fillId="0" borderId="0" xfId="0" applyFont="1" applyAlignment="1" applyProtection="1">
      <alignment horizontal="center" vertical="center"/>
      <protection locked="0"/>
    </xf>
    <xf numFmtId="10" fontId="49" fillId="0" borderId="0" xfId="0" applyNumberFormat="1" applyFont="1" applyAlignment="1" applyProtection="1">
      <alignment horizontal="center" vertical="center"/>
      <protection locked="0"/>
    </xf>
    <xf numFmtId="0" fontId="49" fillId="0" borderId="0" xfId="0" applyFont="1" applyAlignment="1">
      <alignment horizontal="center" vertical="center"/>
    </xf>
    <xf numFmtId="177" fontId="16" fillId="4" borderId="3" xfId="0" applyNumberFormat="1" applyFont="1" applyFill="1" applyBorder="1" applyAlignment="1" applyProtection="1">
      <alignment horizontal="center" vertical="center" wrapText="1"/>
      <protection locked="0"/>
    </xf>
    <xf numFmtId="10" fontId="16" fillId="4" borderId="3" xfId="0" applyNumberFormat="1" applyFont="1" applyFill="1" applyBorder="1" applyAlignment="1" applyProtection="1">
      <alignment horizontal="center" vertical="center" wrapText="1"/>
      <protection locked="0"/>
    </xf>
    <xf numFmtId="178" fontId="16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48" fillId="8" borderId="13" xfId="0" applyFont="1" applyFill="1" applyBorder="1" applyAlignment="1" applyProtection="1">
      <alignment horizontal="center" vertical="center"/>
      <protection locked="0"/>
    </xf>
    <xf numFmtId="0" fontId="16" fillId="0" borderId="20" xfId="0" applyFont="1" applyBorder="1" applyProtection="1">
      <alignment vertical="center"/>
      <protection locked="0"/>
    </xf>
    <xf numFmtId="0" fontId="48" fillId="8" borderId="13" xfId="0" applyFont="1" applyFill="1" applyBorder="1" applyAlignment="1" applyProtection="1">
      <alignment horizontal="left" vertical="center"/>
      <protection locked="0"/>
    </xf>
    <xf numFmtId="0" fontId="19" fillId="5" borderId="3" xfId="0" applyFont="1" applyFill="1" applyBorder="1" applyAlignment="1" applyProtection="1">
      <alignment horizontal="center" vertical="center"/>
      <protection locked="0"/>
    </xf>
    <xf numFmtId="0" fontId="19" fillId="5" borderId="3" xfId="0" applyFont="1" applyFill="1" applyBorder="1" applyAlignment="1" applyProtection="1">
      <alignment horizontal="left" vertical="center"/>
      <protection locked="0"/>
    </xf>
    <xf numFmtId="0" fontId="19" fillId="5" borderId="3" xfId="0" quotePrefix="1" applyFont="1" applyFill="1" applyBorder="1" applyAlignment="1" applyProtection="1">
      <alignment horizontal="left" vertical="center"/>
      <protection locked="0"/>
    </xf>
    <xf numFmtId="0" fontId="19" fillId="5" borderId="3" xfId="0" applyFont="1" applyFill="1" applyBorder="1" applyAlignment="1" applyProtection="1">
      <alignment horizontal="center" vertical="center" wrapText="1"/>
      <protection locked="0"/>
    </xf>
    <xf numFmtId="0" fontId="18" fillId="5" borderId="3" xfId="0" applyFont="1" applyFill="1" applyBorder="1" applyAlignment="1" applyProtection="1">
      <alignment horizontal="center" vertical="center" wrapText="1"/>
      <protection locked="0"/>
    </xf>
    <xf numFmtId="0" fontId="12" fillId="5" borderId="3" xfId="0" applyFont="1" applyFill="1" applyBorder="1" applyAlignment="1" applyProtection="1">
      <alignment horizontal="center" vertical="center" wrapText="1"/>
      <protection locked="0"/>
    </xf>
    <xf numFmtId="4" fontId="12" fillId="5" borderId="3" xfId="0" applyNumberFormat="1" applyFont="1" applyFill="1" applyBorder="1" applyAlignment="1" applyProtection="1">
      <alignment horizontal="center" vertical="center" wrapText="1"/>
      <protection locked="0"/>
    </xf>
    <xf numFmtId="10" fontId="12" fillId="5" borderId="3" xfId="0" applyNumberFormat="1" applyFont="1" applyFill="1" applyBorder="1" applyAlignment="1" applyProtection="1">
      <alignment horizontal="center" vertical="center" wrapText="1"/>
      <protection locked="0"/>
    </xf>
    <xf numFmtId="176" fontId="12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18" fillId="2" borderId="13" xfId="0" applyFont="1" applyFill="1" applyBorder="1" applyAlignment="1" applyProtection="1">
      <alignment horizontal="left" vertical="center"/>
      <protection locked="0"/>
    </xf>
    <xf numFmtId="4" fontId="18" fillId="2" borderId="13" xfId="0" applyNumberFormat="1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 applyProtection="1">
      <alignment horizontal="left" vertical="center" wrapText="1"/>
      <protection locked="0"/>
    </xf>
    <xf numFmtId="0" fontId="19" fillId="4" borderId="3" xfId="0" applyFont="1" applyFill="1" applyBorder="1" applyAlignment="1" applyProtection="1">
      <alignment horizontal="center" vertical="center"/>
      <protection locked="0"/>
    </xf>
    <xf numFmtId="0" fontId="19" fillId="4" borderId="3" xfId="0" applyFont="1" applyFill="1" applyBorder="1" applyAlignment="1" applyProtection="1">
      <alignment horizontal="left" vertical="center"/>
      <protection locked="0"/>
    </xf>
    <xf numFmtId="0" fontId="19" fillId="4" borderId="3" xfId="0" quotePrefix="1" applyFont="1" applyFill="1" applyBorder="1" applyAlignment="1" applyProtection="1">
      <alignment horizontal="left" vertical="center"/>
      <protection locked="0"/>
    </xf>
    <xf numFmtId="0" fontId="19" fillId="4" borderId="3" xfId="0" applyFont="1" applyFill="1" applyBorder="1" applyAlignment="1" applyProtection="1">
      <alignment horizontal="center" vertical="center" wrapText="1"/>
      <protection locked="0"/>
    </xf>
    <xf numFmtId="10" fontId="12" fillId="4" borderId="3" xfId="0" applyNumberFormat="1" applyFont="1" applyFill="1" applyBorder="1" applyAlignment="1" applyProtection="1">
      <alignment horizontal="center" vertical="center" wrapText="1"/>
      <protection locked="0"/>
    </xf>
    <xf numFmtId="43" fontId="12" fillId="4" borderId="3" xfId="0" applyNumberFormat="1" applyFont="1" applyFill="1" applyBorder="1" applyAlignment="1" applyProtection="1">
      <alignment horizontal="center" vertical="center" wrapText="1"/>
      <protection locked="0"/>
    </xf>
    <xf numFmtId="4" fontId="12" fillId="4" borderId="3" xfId="0" applyNumberFormat="1" applyFont="1" applyFill="1" applyBorder="1" applyAlignment="1" applyProtection="1">
      <alignment horizontal="center" vertical="center" wrapText="1"/>
      <protection locked="0"/>
    </xf>
    <xf numFmtId="4" fontId="18" fillId="4" borderId="3" xfId="0" applyNumberFormat="1" applyFont="1" applyFill="1" applyBorder="1" applyAlignment="1" applyProtection="1">
      <alignment horizontal="center" vertical="center" wrapText="1"/>
      <protection locked="0"/>
    </xf>
    <xf numFmtId="176" fontId="18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18" fillId="8" borderId="13" xfId="0" applyFont="1" applyFill="1" applyBorder="1" applyAlignment="1" applyProtection="1">
      <alignment horizontal="left" vertical="center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8" fillId="3" borderId="3" xfId="0" quotePrefix="1" applyFont="1" applyFill="1" applyBorder="1" applyAlignment="1" applyProtection="1">
      <alignment horizontal="center" vertical="center"/>
      <protection locked="0"/>
    </xf>
    <xf numFmtId="0" fontId="18" fillId="3" borderId="3" xfId="0" applyFont="1" applyFill="1" applyBorder="1" applyAlignment="1" applyProtection="1">
      <alignment horizontal="left" vertical="center"/>
      <protection locked="0"/>
    </xf>
    <xf numFmtId="0" fontId="18" fillId="3" borderId="3" xfId="0" quotePrefix="1" applyFont="1" applyFill="1" applyBorder="1" applyAlignment="1" applyProtection="1">
      <alignment horizontal="left" vertical="center"/>
      <protection locked="0"/>
    </xf>
    <xf numFmtId="0" fontId="18" fillId="3" borderId="3" xfId="0" applyFont="1" applyFill="1" applyBorder="1" applyAlignment="1" applyProtection="1">
      <alignment horizontal="center" vertical="center" wrapText="1"/>
      <protection locked="0"/>
    </xf>
    <xf numFmtId="10" fontId="12" fillId="3" borderId="3" xfId="0" applyNumberFormat="1" applyFont="1" applyFill="1" applyBorder="1" applyAlignment="1" applyProtection="1">
      <alignment horizontal="center" vertical="center" wrapText="1"/>
      <protection locked="0"/>
    </xf>
    <xf numFmtId="43" fontId="12" fillId="3" borderId="3" xfId="0" applyNumberFormat="1" applyFont="1" applyFill="1" applyBorder="1" applyAlignment="1" applyProtection="1">
      <alignment horizontal="center" vertical="center" wrapText="1"/>
      <protection locked="0"/>
    </xf>
    <xf numFmtId="10" fontId="18" fillId="0" borderId="3" xfId="0" applyNumberFormat="1" applyFont="1" applyBorder="1" applyAlignment="1" applyProtection="1">
      <alignment horizontal="center" vertical="center" wrapText="1"/>
      <protection locked="0"/>
    </xf>
    <xf numFmtId="4" fontId="18" fillId="0" borderId="3" xfId="0" applyNumberFormat="1" applyFont="1" applyBorder="1" applyAlignment="1" applyProtection="1">
      <alignment horizontal="center" vertical="center" wrapText="1"/>
      <protection locked="0"/>
    </xf>
    <xf numFmtId="176" fontId="18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8" fillId="10" borderId="13" xfId="0" applyFont="1" applyFill="1" applyBorder="1" applyAlignment="1" applyProtection="1">
      <alignment horizontal="center" vertical="center"/>
      <protection locked="0"/>
    </xf>
    <xf numFmtId="4" fontId="18" fillId="0" borderId="13" xfId="0" applyNumberFormat="1" applyFont="1" applyBorder="1" applyAlignment="1" applyProtection="1">
      <alignment horizontal="left" vertical="center"/>
      <protection locked="0"/>
    </xf>
    <xf numFmtId="184" fontId="18" fillId="0" borderId="13" xfId="0" applyNumberFormat="1" applyFont="1" applyBorder="1" applyAlignment="1" applyProtection="1">
      <alignment horizontal="left" vertical="center"/>
      <protection locked="0"/>
    </xf>
    <xf numFmtId="0" fontId="18" fillId="3" borderId="3" xfId="0" applyFont="1" applyFill="1" applyBorder="1" applyAlignment="1" applyProtection="1">
      <alignment horizontal="left" vertical="center" wrapText="1"/>
      <protection locked="0"/>
    </xf>
    <xf numFmtId="0" fontId="19" fillId="3" borderId="3" xfId="0" applyFont="1" applyFill="1" applyBorder="1" applyAlignment="1" applyProtection="1">
      <alignment horizontal="left" vertical="center"/>
      <protection locked="0"/>
    </xf>
    <xf numFmtId="0" fontId="19" fillId="3" borderId="3" xfId="0" applyFont="1" applyFill="1" applyBorder="1" applyAlignment="1" applyProtection="1">
      <alignment horizontal="center" vertical="center" wrapText="1"/>
      <protection locked="0"/>
    </xf>
    <xf numFmtId="0" fontId="19" fillId="3" borderId="3" xfId="0" quotePrefix="1" applyFont="1" applyFill="1" applyBorder="1" applyAlignment="1" applyProtection="1">
      <alignment horizontal="left" vertical="center"/>
      <protection locked="0"/>
    </xf>
    <xf numFmtId="176" fontId="18" fillId="0" borderId="3" xfId="0" applyNumberFormat="1" applyFont="1" applyBorder="1" applyAlignment="1" applyProtection="1">
      <alignment horizontal="center" vertical="center" wrapText="1"/>
      <protection locked="0"/>
    </xf>
    <xf numFmtId="0" fontId="18" fillId="0" borderId="13" xfId="0" quotePrefix="1" applyFont="1" applyBorder="1" applyAlignment="1" applyProtection="1">
      <alignment horizontal="center" vertical="center"/>
      <protection locked="0"/>
    </xf>
    <xf numFmtId="0" fontId="18" fillId="0" borderId="13" xfId="0" applyFont="1" applyBorder="1" applyAlignment="1" applyProtection="1">
      <alignment horizontal="left" vertical="center"/>
      <protection locked="0"/>
    </xf>
    <xf numFmtId="0" fontId="18" fillId="0" borderId="13" xfId="0" applyFont="1" applyBorder="1" applyProtection="1">
      <alignment vertical="center"/>
      <protection locked="0"/>
    </xf>
    <xf numFmtId="4" fontId="18" fillId="0" borderId="13" xfId="0" applyNumberFormat="1" applyFont="1" applyBorder="1" applyProtection="1">
      <alignment vertical="center"/>
      <protection locked="0"/>
    </xf>
    <xf numFmtId="10" fontId="18" fillId="0" borderId="13" xfId="0" applyNumberFormat="1" applyFont="1" applyBorder="1" applyProtection="1">
      <alignment vertical="center"/>
      <protection locked="0"/>
    </xf>
    <xf numFmtId="4" fontId="0" fillId="0" borderId="13" xfId="0" applyNumberFormat="1" applyBorder="1" applyProtection="1">
      <alignment vertical="center"/>
      <protection locked="0"/>
    </xf>
    <xf numFmtId="4" fontId="18" fillId="0" borderId="13" xfId="0" applyNumberFormat="1" applyFont="1" applyBorder="1" applyAlignment="1" applyProtection="1">
      <alignment horizontal="center" vertical="center"/>
      <protection locked="0"/>
    </xf>
    <xf numFmtId="4" fontId="54" fillId="0" borderId="13" xfId="0" applyNumberFormat="1" applyFont="1" applyBorder="1" applyAlignment="1" applyProtection="1">
      <alignment horizontal="left" vertical="center"/>
      <protection locked="0"/>
    </xf>
    <xf numFmtId="0" fontId="18" fillId="0" borderId="13" xfId="0" applyFont="1" applyBorder="1">
      <alignment vertical="center"/>
    </xf>
    <xf numFmtId="4" fontId="18" fillId="2" borderId="13" xfId="0" applyNumberFormat="1" applyFont="1" applyFill="1" applyBorder="1" applyAlignment="1" applyProtection="1">
      <alignment horizontal="left" vertical="center"/>
      <protection locked="0"/>
    </xf>
    <xf numFmtId="4" fontId="18" fillId="8" borderId="13" xfId="0" applyNumberFormat="1" applyFont="1" applyFill="1" applyBorder="1" applyAlignment="1" applyProtection="1">
      <alignment horizontal="left" vertical="center"/>
      <protection locked="0"/>
    </xf>
    <xf numFmtId="0" fontId="20" fillId="0" borderId="3" xfId="0" applyFont="1" applyBorder="1" applyAlignment="1" applyProtection="1">
      <alignment horizontal="center" vertical="center" shrinkToFit="1"/>
      <protection locked="0"/>
    </xf>
    <xf numFmtId="0" fontId="20" fillId="0" borderId="3" xfId="0" applyFont="1" applyBorder="1" applyAlignment="1" applyProtection="1">
      <alignment vertical="center" wrapText="1" shrinkToFit="1"/>
      <protection locked="0"/>
    </xf>
    <xf numFmtId="0" fontId="20" fillId="0" borderId="3" xfId="0" quotePrefix="1" applyFont="1" applyBorder="1" applyAlignment="1" applyProtection="1">
      <alignment horizontal="left" vertical="center" wrapText="1" shrinkToFi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76" fontId="12" fillId="0" borderId="3" xfId="0" applyNumberFormat="1" applyFont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left" vertical="center" wrapText="1"/>
      <protection locked="0"/>
    </xf>
    <xf numFmtId="0" fontId="20" fillId="0" borderId="3" xfId="0" applyFont="1" applyBorder="1" applyAlignment="1" applyProtection="1">
      <alignment horizontal="left" vertical="center" wrapText="1" shrinkToFit="1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21" fillId="0" borderId="3" xfId="0" applyFont="1" applyBorder="1" applyAlignment="1" applyProtection="1">
      <alignment horizontal="left" vertical="center" wrapText="1" shrinkToFit="1"/>
      <protection locked="0"/>
    </xf>
    <xf numFmtId="0" fontId="21" fillId="0" borderId="3" xfId="0" quotePrefix="1" applyFont="1" applyBorder="1" applyAlignment="1" applyProtection="1">
      <alignment horizontal="left" vertical="center" wrapText="1" shrinkToFit="1"/>
      <protection locked="0"/>
    </xf>
    <xf numFmtId="0" fontId="21" fillId="0" borderId="3" xfId="0" applyFont="1" applyBorder="1" applyAlignment="1" applyProtection="1">
      <alignment vertical="center" wrapText="1" shrinkToFit="1"/>
      <protection locked="0"/>
    </xf>
    <xf numFmtId="4" fontId="28" fillId="4" borderId="3" xfId="0" applyNumberFormat="1" applyFont="1" applyFill="1" applyBorder="1" applyAlignment="1" applyProtection="1">
      <alignment horizontal="center" vertical="center" wrapText="1"/>
      <protection locked="0"/>
    </xf>
    <xf numFmtId="176" fontId="12" fillId="5" borderId="3" xfId="0" applyNumberFormat="1" applyFont="1" applyFill="1" applyBorder="1" applyAlignment="1" applyProtection="1">
      <alignment horizontal="left" vertical="center" wrapText="1"/>
      <protection locked="0"/>
    </xf>
    <xf numFmtId="10" fontId="18" fillId="5" borderId="3" xfId="0" applyNumberFormat="1" applyFont="1" applyFill="1" applyBorder="1" applyAlignment="1" applyProtection="1">
      <alignment horizontal="center" vertical="center" wrapText="1"/>
      <protection locked="0"/>
    </xf>
    <xf numFmtId="4" fontId="28" fillId="5" borderId="3" xfId="0" applyNumberFormat="1" applyFont="1" applyFill="1" applyBorder="1" applyAlignment="1" applyProtection="1">
      <alignment horizontal="center" vertical="center" wrapText="1"/>
      <protection locked="0"/>
    </xf>
    <xf numFmtId="176" fontId="18" fillId="5" borderId="3" xfId="0" applyNumberFormat="1" applyFont="1" applyFill="1" applyBorder="1" applyAlignment="1" applyProtection="1">
      <alignment horizontal="center" vertical="center" wrapText="1"/>
      <protection locked="0"/>
    </xf>
    <xf numFmtId="4" fontId="18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10" fontId="13" fillId="0" borderId="3" xfId="0" applyNumberFormat="1" applyFont="1" applyBorder="1" applyAlignment="1" applyProtection="1">
      <alignment horizontal="center" vertical="center" wrapText="1"/>
      <protection locked="0"/>
    </xf>
    <xf numFmtId="176" fontId="13" fillId="0" borderId="3" xfId="0" applyNumberFormat="1" applyFont="1" applyBorder="1" applyAlignment="1" applyProtection="1">
      <alignment horizontal="center" vertical="center" wrapText="1"/>
      <protection locked="0"/>
    </xf>
    <xf numFmtId="4" fontId="19" fillId="0" borderId="3" xfId="0" applyNumberFormat="1" applyFont="1" applyBorder="1" applyAlignment="1" applyProtection="1">
      <alignment horizontal="center" vertical="center" wrapText="1"/>
      <protection locked="0"/>
    </xf>
    <xf numFmtId="4" fontId="18" fillId="3" borderId="3" xfId="0" applyNumberFormat="1" applyFont="1" applyFill="1" applyBorder="1" applyAlignment="1" applyProtection="1">
      <alignment horizontal="center" vertical="center" wrapText="1"/>
      <protection locked="0"/>
    </xf>
    <xf numFmtId="10" fontId="19" fillId="0" borderId="3" xfId="0" applyNumberFormat="1" applyFont="1" applyBorder="1" applyAlignment="1" applyProtection="1">
      <alignment horizontal="center" vertical="center" wrapText="1"/>
      <protection locked="0"/>
    </xf>
    <xf numFmtId="176" fontId="19" fillId="0" borderId="3" xfId="0" applyNumberFormat="1" applyFont="1" applyBorder="1" applyAlignment="1" applyProtection="1">
      <alignment horizontal="center" vertical="center" wrapText="1"/>
      <protection locked="0"/>
    </xf>
    <xf numFmtId="0" fontId="19" fillId="0" borderId="13" xfId="0" applyFont="1" applyBorder="1" applyAlignment="1" applyProtection="1">
      <alignment horizontal="left" vertical="center"/>
      <protection locked="0"/>
    </xf>
    <xf numFmtId="4" fontId="19" fillId="0" borderId="13" xfId="0" applyNumberFormat="1" applyFont="1" applyBorder="1" applyAlignment="1" applyProtection="1">
      <alignment horizontal="left" vertical="center"/>
      <protection locked="0"/>
    </xf>
    <xf numFmtId="0" fontId="19" fillId="0" borderId="3" xfId="0" applyFont="1" applyBorder="1" applyAlignment="1" applyProtection="1">
      <alignment horizontal="left" vertical="center" wrapText="1"/>
      <protection locked="0"/>
    </xf>
    <xf numFmtId="0" fontId="18" fillId="0" borderId="3" xfId="0" applyFont="1" applyBorder="1" applyAlignment="1" applyProtection="1">
      <alignment horizontal="left" vertical="center"/>
      <protection locked="0"/>
    </xf>
    <xf numFmtId="0" fontId="18" fillId="0" borderId="3" xfId="0" quotePrefix="1" applyFont="1" applyBorder="1" applyAlignment="1" applyProtection="1">
      <alignment horizontal="left" vertical="center"/>
      <protection locked="0"/>
    </xf>
    <xf numFmtId="4" fontId="25" fillId="4" borderId="3" xfId="0" applyNumberFormat="1" applyFont="1" applyFill="1" applyBorder="1" applyAlignment="1" applyProtection="1">
      <alignment horizontal="center" vertical="center" wrapText="1"/>
      <protection locked="0"/>
    </xf>
    <xf numFmtId="4" fontId="12" fillId="5" borderId="3" xfId="0" applyNumberFormat="1" applyFont="1" applyFill="1" applyBorder="1" applyAlignment="1">
      <alignment horizontal="center" vertical="center" wrapText="1"/>
    </xf>
    <xf numFmtId="4" fontId="18" fillId="5" borderId="3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left" vertical="center"/>
    </xf>
    <xf numFmtId="4" fontId="18" fillId="2" borderId="13" xfId="0" applyNumberFormat="1" applyFont="1" applyFill="1" applyBorder="1" applyAlignment="1">
      <alignment horizontal="left" vertical="center"/>
    </xf>
    <xf numFmtId="0" fontId="14" fillId="0" borderId="3" xfId="0" applyFont="1" applyBorder="1" applyAlignment="1" applyProtection="1">
      <alignment vertical="center" wrapText="1"/>
      <protection locked="0"/>
    </xf>
    <xf numFmtId="4" fontId="14" fillId="0" borderId="3" xfId="0" applyNumberFormat="1" applyFont="1" applyBorder="1" applyProtection="1">
      <alignment vertical="center"/>
      <protection locked="0"/>
    </xf>
    <xf numFmtId="10" fontId="14" fillId="0" borderId="3" xfId="0" applyNumberFormat="1" applyFont="1" applyBorder="1" applyProtection="1">
      <alignment vertical="center"/>
      <protection locked="0"/>
    </xf>
    <xf numFmtId="0" fontId="14" fillId="3" borderId="3" xfId="0" applyFont="1" applyFill="1" applyBorder="1" applyAlignment="1" applyProtection="1">
      <alignment vertical="center" wrapText="1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vertical="center" wrapText="1"/>
      <protection locked="0"/>
    </xf>
    <xf numFmtId="4" fontId="0" fillId="0" borderId="21" xfId="0" applyNumberFormat="1" applyBorder="1" applyProtection="1">
      <alignment vertical="center"/>
      <protection locked="0"/>
    </xf>
    <xf numFmtId="10" fontId="0" fillId="0" borderId="21" xfId="0" applyNumberFormat="1" applyBorder="1" applyProtection="1">
      <alignment vertical="center"/>
      <protection locked="0"/>
    </xf>
    <xf numFmtId="0" fontId="0" fillId="0" borderId="21" xfId="0" applyBorder="1" applyProtection="1">
      <alignment vertical="center"/>
      <protection locked="0"/>
    </xf>
    <xf numFmtId="0" fontId="48" fillId="0" borderId="1" xfId="0" applyFont="1" applyBorder="1" applyAlignment="1" applyProtection="1">
      <alignment horizontal="center" vertical="center"/>
      <protection locked="0"/>
    </xf>
    <xf numFmtId="0" fontId="48" fillId="0" borderId="1" xfId="0" applyFont="1" applyBorder="1" applyAlignment="1">
      <alignment horizontal="center" vertical="center"/>
    </xf>
    <xf numFmtId="0" fontId="9" fillId="4" borderId="2" xfId="0" applyFont="1" applyFill="1" applyBorder="1" applyAlignment="1" applyProtection="1">
      <alignment horizontal="center" vertical="center"/>
      <protection locked="0"/>
    </xf>
    <xf numFmtId="49" fontId="10" fillId="0" borderId="3" xfId="0" quotePrefix="1" applyNumberFormat="1" applyFont="1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4" fontId="10" fillId="0" borderId="3" xfId="0" applyNumberFormat="1" applyFont="1" applyBorder="1" applyAlignment="1" applyProtection="1">
      <alignment horizontal="center" vertical="center"/>
      <protection locked="0"/>
    </xf>
    <xf numFmtId="4" fontId="10" fillId="0" borderId="3" xfId="0" applyNumberFormat="1" applyFont="1" applyBorder="1" applyAlignment="1">
      <alignment horizontal="center" vertical="center"/>
    </xf>
    <xf numFmtId="0" fontId="0" fillId="0" borderId="13" xfId="0" applyBorder="1" applyAlignment="1" applyProtection="1">
      <protection locked="0"/>
    </xf>
    <xf numFmtId="0" fontId="49" fillId="0" borderId="13" xfId="0" applyFont="1" applyBorder="1" applyAlignment="1" applyProtection="1">
      <alignment horizontal="center"/>
      <protection locked="0"/>
    </xf>
    <xf numFmtId="49" fontId="10" fillId="3" borderId="3" xfId="0" quotePrefix="1" applyNumberFormat="1" applyFont="1" applyFill="1" applyBorder="1" applyAlignment="1" applyProtection="1">
      <alignment horizontal="left" vertical="center"/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4" fontId="10" fillId="3" borderId="3" xfId="0" applyNumberFormat="1" applyFont="1" applyFill="1" applyBorder="1" applyAlignment="1" applyProtection="1">
      <alignment horizontal="center" vertical="center"/>
      <protection locked="0"/>
    </xf>
    <xf numFmtId="4" fontId="10" fillId="3" borderId="3" xfId="0" applyNumberFormat="1" applyFont="1" applyFill="1" applyBorder="1" applyAlignment="1">
      <alignment horizontal="center" vertical="center"/>
    </xf>
    <xf numFmtId="49" fontId="10" fillId="3" borderId="3" xfId="0" applyNumberFormat="1" applyFont="1" applyFill="1" applyBorder="1" applyAlignment="1" applyProtection="1">
      <alignment horizontal="left" vertical="center"/>
      <protection locked="0"/>
    </xf>
    <xf numFmtId="49" fontId="10" fillId="0" borderId="3" xfId="0" applyNumberFormat="1" applyFont="1" applyBorder="1" applyAlignment="1" applyProtection="1">
      <alignment horizontal="left" vertical="center"/>
      <protection locked="0"/>
    </xf>
    <xf numFmtId="10" fontId="10" fillId="0" borderId="3" xfId="0" applyNumberFormat="1" applyFont="1" applyBorder="1" applyAlignment="1" applyProtection="1">
      <alignment horizontal="center" vertical="center"/>
      <protection locked="0"/>
    </xf>
    <xf numFmtId="176" fontId="10" fillId="0" borderId="3" xfId="0" applyNumberFormat="1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Protection="1">
      <alignment vertical="center"/>
      <protection locked="0"/>
    </xf>
    <xf numFmtId="176" fontId="11" fillId="3" borderId="3" xfId="0" applyNumberFormat="1" applyFont="1" applyFill="1" applyBorder="1" applyProtection="1">
      <alignment vertical="center"/>
      <protection locked="0"/>
    </xf>
    <xf numFmtId="49" fontId="10" fillId="3" borderId="3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176" fontId="12" fillId="3" borderId="3" xfId="0" applyNumberFormat="1" applyFont="1" applyFill="1" applyBorder="1" applyProtection="1">
      <alignment vertical="center"/>
      <protection locked="0"/>
    </xf>
    <xf numFmtId="176" fontId="12" fillId="3" borderId="3" xfId="0" applyNumberFormat="1" applyFont="1" applyFill="1" applyBorder="1" applyAlignment="1" applyProtection="1">
      <alignment horizontal="left" vertical="center" indent="1"/>
      <protection locked="0"/>
    </xf>
    <xf numFmtId="43" fontId="11" fillId="3" borderId="3" xfId="0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/>
    </xf>
    <xf numFmtId="0" fontId="23" fillId="4" borderId="3" xfId="0" applyFont="1" applyFill="1" applyBorder="1" applyAlignment="1" applyProtection="1">
      <alignment horizontal="center" vertical="center" wrapText="1"/>
      <protection locked="0"/>
    </xf>
    <xf numFmtId="176" fontId="13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24" fillId="4" borderId="3" xfId="0" applyFont="1" applyFill="1" applyBorder="1" applyAlignment="1" applyProtection="1">
      <alignment horizontal="center" vertical="center" wrapText="1"/>
      <protection locked="0"/>
    </xf>
    <xf numFmtId="0" fontId="23" fillId="4" borderId="3" xfId="0" applyFont="1" applyFill="1" applyBorder="1" applyAlignment="1" applyProtection="1">
      <alignment horizontal="center" vertical="center"/>
      <protection locked="0"/>
    </xf>
    <xf numFmtId="0" fontId="23" fillId="4" borderId="3" xfId="0" applyFont="1" applyFill="1" applyBorder="1" applyProtection="1">
      <alignment vertical="center"/>
      <protection locked="0"/>
    </xf>
    <xf numFmtId="0" fontId="18" fillId="4" borderId="3" xfId="0" applyFont="1" applyFill="1" applyBorder="1" applyAlignment="1" applyProtection="1">
      <alignment horizontal="center" vertical="center"/>
      <protection locked="0"/>
    </xf>
    <xf numFmtId="0" fontId="18" fillId="4" borderId="4" xfId="0" applyFont="1" applyFill="1" applyBorder="1" applyAlignment="1" applyProtection="1">
      <alignment horizontal="center" vertical="center"/>
      <protection locked="0"/>
    </xf>
    <xf numFmtId="0" fontId="18" fillId="4" borderId="2" xfId="0" applyFont="1" applyFill="1" applyBorder="1" applyAlignment="1" applyProtection="1">
      <alignment horizontal="center" vertical="center"/>
      <protection locked="0"/>
    </xf>
    <xf numFmtId="0" fontId="18" fillId="4" borderId="3" xfId="0" applyFont="1" applyFill="1" applyBorder="1" applyAlignment="1" applyProtection="1">
      <alignment horizontal="center" vertical="center" wrapText="1"/>
      <protection locked="0"/>
    </xf>
    <xf numFmtId="10" fontId="24" fillId="4" borderId="3" xfId="0" applyNumberFormat="1" applyFont="1" applyFill="1" applyBorder="1" applyAlignment="1" applyProtection="1">
      <alignment horizontal="center" vertical="center" wrapText="1"/>
      <protection locked="0"/>
    </xf>
    <xf numFmtId="10" fontId="24" fillId="4" borderId="3" xfId="0" applyNumberFormat="1" applyFont="1" applyFill="1" applyBorder="1" applyAlignment="1" applyProtection="1">
      <alignment vertical="center" wrapText="1"/>
      <protection locked="0"/>
    </xf>
    <xf numFmtId="0" fontId="18" fillId="4" borderId="3" xfId="0" applyFont="1" applyFill="1" applyBorder="1" applyAlignment="1">
      <alignment horizontal="center" vertical="center"/>
    </xf>
    <xf numFmtId="0" fontId="49" fillId="0" borderId="0" xfId="0" applyFont="1" applyAlignment="1" applyProtection="1">
      <alignment horizontal="left" vertical="center"/>
      <protection locked="0"/>
    </xf>
    <xf numFmtId="4" fontId="49" fillId="0" borderId="0" xfId="0" applyNumberFormat="1" applyFont="1" applyAlignment="1" applyProtection="1">
      <alignment horizontal="left" vertical="center"/>
      <protection locked="0"/>
    </xf>
    <xf numFmtId="0" fontId="16" fillId="4" borderId="3" xfId="0" applyFont="1" applyFill="1" applyBorder="1" applyAlignment="1" applyProtection="1">
      <alignment horizontal="center" vertical="center" wrapText="1"/>
      <protection locked="0"/>
    </xf>
    <xf numFmtId="177" fontId="24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53" fillId="8" borderId="13" xfId="0" applyFont="1" applyFill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0" fontId="47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>
      <alignment horizontal="left" vertical="top" wrapText="1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14" fillId="0" borderId="11" xfId="0" applyFont="1" applyBorder="1" applyAlignment="1" applyProtection="1">
      <alignment horizontal="left" vertical="top" wrapText="1"/>
      <protection locked="0"/>
    </xf>
    <xf numFmtId="0" fontId="14" fillId="0" borderId="12" xfId="0" applyFont="1" applyBorder="1" applyAlignment="1">
      <alignment horizontal="left" vertical="top" wrapText="1"/>
    </xf>
    <xf numFmtId="0" fontId="14" fillId="0" borderId="9" xfId="0" applyFont="1" applyBorder="1" applyAlignment="1" applyProtection="1">
      <alignment horizontal="left" vertical="top"/>
      <protection locked="0"/>
    </xf>
    <xf numFmtId="0" fontId="14" fillId="0" borderId="9" xfId="0" applyFont="1" applyBorder="1" applyAlignment="1">
      <alignment horizontal="left" vertical="top"/>
    </xf>
    <xf numFmtId="0" fontId="27" fillId="0" borderId="0" xfId="0" applyFont="1" applyAlignment="1" applyProtection="1">
      <alignment horizontal="center" vertical="center" wrapText="1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27" fillId="0" borderId="0" xfId="2" applyFont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3" fillId="7" borderId="3" xfId="0" applyFont="1" applyFill="1" applyBorder="1" applyAlignment="1" applyProtection="1">
      <alignment horizontal="left" vertical="center" wrapText="1"/>
      <protection locked="0"/>
    </xf>
    <xf numFmtId="0" fontId="13" fillId="7" borderId="3" xfId="0" applyFont="1" applyFill="1" applyBorder="1" applyAlignment="1" applyProtection="1">
      <alignment horizontal="center" vertical="center" wrapText="1"/>
      <protection locked="0"/>
    </xf>
    <xf numFmtId="0" fontId="13" fillId="7" borderId="3" xfId="0" applyFont="1" applyFill="1" applyBorder="1" applyAlignment="1">
      <alignment horizontal="left" vertical="center" wrapText="1"/>
    </xf>
    <xf numFmtId="49" fontId="13" fillId="7" borderId="3" xfId="0" applyNumberFormat="1" applyFont="1" applyFill="1" applyBorder="1" applyAlignment="1" applyProtection="1">
      <alignment horizontal="left" vertical="center" wrapText="1"/>
      <protection locked="0"/>
    </xf>
    <xf numFmtId="49" fontId="13" fillId="7" borderId="3" xfId="0" applyNumberFormat="1" applyFont="1" applyFill="1" applyBorder="1" applyAlignment="1" applyProtection="1">
      <alignment horizontal="center" vertical="center" wrapText="1"/>
      <protection locked="0"/>
    </xf>
    <xf numFmtId="49" fontId="13" fillId="7" borderId="3" xfId="10" applyNumberFormat="1" applyFont="1" applyFill="1" applyBorder="1" applyAlignment="1">
      <alignment horizontal="left" vertical="center" wrapText="1"/>
    </xf>
    <xf numFmtId="0" fontId="48" fillId="0" borderId="0" xfId="0" applyFont="1" applyAlignment="1" applyProtection="1">
      <alignment horizontal="left" vertical="center" wrapText="1"/>
      <protection locked="0"/>
    </xf>
    <xf numFmtId="181" fontId="48" fillId="0" borderId="0" xfId="0" applyNumberFormat="1" applyFont="1" applyAlignment="1" applyProtection="1">
      <alignment horizontal="left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36" fillId="0" borderId="0" xfId="6" applyFont="1" applyAlignment="1">
      <alignment horizontal="center" vertical="center"/>
    </xf>
    <xf numFmtId="0" fontId="37" fillId="7" borderId="3" xfId="0" applyFont="1" applyFill="1" applyBorder="1" applyAlignment="1" applyProtection="1">
      <alignment horizontal="left" vertical="center"/>
      <protection locked="0"/>
    </xf>
    <xf numFmtId="0" fontId="37" fillId="7" borderId="3" xfId="6" applyFont="1" applyFill="1" applyBorder="1" applyAlignment="1">
      <alignment horizontal="left" vertical="center"/>
    </xf>
    <xf numFmtId="10" fontId="20" fillId="3" borderId="3" xfId="0" applyNumberFormat="1" applyFont="1" applyFill="1" applyBorder="1" applyAlignment="1" applyProtection="1">
      <alignment horizontal="center" vertical="center" wrapText="1"/>
      <protection locked="0"/>
    </xf>
    <xf numFmtId="4" fontId="20" fillId="3" borderId="3" xfId="0" applyNumberFormat="1" applyFont="1" applyFill="1" applyBorder="1" applyAlignment="1" applyProtection="1">
      <alignment horizontal="center" vertical="center" wrapText="1"/>
      <protection locked="0"/>
    </xf>
    <xf numFmtId="4" fontId="35" fillId="0" borderId="3" xfId="0" applyNumberFormat="1" applyFont="1" applyBorder="1" applyAlignment="1" applyProtection="1">
      <alignment horizontal="center" vertical="center" wrapText="1"/>
      <protection locked="0"/>
    </xf>
    <xf numFmtId="0" fontId="35" fillId="4" borderId="6" xfId="0" applyFont="1" applyFill="1" applyBorder="1" applyAlignment="1" applyProtection="1">
      <alignment horizontal="center" vertical="center" wrapText="1"/>
      <protection locked="0"/>
    </xf>
    <xf numFmtId="0" fontId="35" fillId="4" borderId="8" xfId="0" applyFont="1" applyFill="1" applyBorder="1" applyAlignment="1" applyProtection="1">
      <alignment horizontal="center" vertical="center" wrapText="1"/>
      <protection locked="0"/>
    </xf>
    <xf numFmtId="4" fontId="35" fillId="0" borderId="3" xfId="0" applyNumberFormat="1" applyFont="1" applyBorder="1" applyAlignment="1">
      <alignment horizontal="center" vertical="center" wrapText="1"/>
    </xf>
    <xf numFmtId="10" fontId="35" fillId="0" borderId="3" xfId="0" applyNumberFormat="1" applyFont="1" applyBorder="1" applyAlignment="1" applyProtection="1">
      <alignment horizontal="center" vertical="center" wrapText="1"/>
      <protection locked="0"/>
    </xf>
    <xf numFmtId="0" fontId="35" fillId="4" borderId="3" xfId="0" applyFont="1" applyFill="1" applyBorder="1" applyAlignment="1" applyProtection="1">
      <alignment horizontal="center" vertical="center" wrapText="1"/>
      <protection locked="0"/>
    </xf>
    <xf numFmtId="10" fontId="20" fillId="3" borderId="3" xfId="0" applyNumberFormat="1" applyFont="1" applyFill="1" applyBorder="1" applyAlignment="1">
      <alignment horizontal="center" vertical="center" wrapText="1"/>
    </xf>
    <xf numFmtId="0" fontId="35" fillId="4" borderId="7" xfId="0" applyFont="1" applyFill="1" applyBorder="1" applyAlignment="1" applyProtection="1">
      <alignment horizontal="center" vertical="center" wrapText="1"/>
      <protection locked="0"/>
    </xf>
    <xf numFmtId="0" fontId="20" fillId="3" borderId="7" xfId="0" applyFont="1" applyFill="1" applyBorder="1" applyAlignment="1" applyProtection="1">
      <alignment horizontal="left" vertical="center"/>
      <protection locked="0"/>
    </xf>
    <xf numFmtId="0" fontId="20" fillId="3" borderId="8" xfId="6" applyFont="1" applyFill="1" applyBorder="1" applyAlignment="1">
      <alignment horizontal="left" vertical="center"/>
    </xf>
    <xf numFmtId="0" fontId="12" fillId="4" borderId="3" xfId="0" applyFont="1" applyFill="1" applyBorder="1" applyAlignment="1" applyProtection="1">
      <alignment horizontal="left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3" xfId="6" applyFont="1" applyBorder="1" applyAlignment="1">
      <alignment horizontal="center" vertical="center"/>
    </xf>
    <xf numFmtId="0" fontId="12" fillId="3" borderId="3" xfId="0" applyFont="1" applyFill="1" applyBorder="1" applyAlignment="1" applyProtection="1">
      <alignment horizontal="center" vertical="center"/>
      <protection locked="0"/>
    </xf>
    <xf numFmtId="184" fontId="12" fillId="0" borderId="3" xfId="0" applyNumberFormat="1" applyFont="1" applyBorder="1" applyAlignment="1" applyProtection="1">
      <alignment horizontal="center" vertical="center"/>
      <protection locked="0"/>
    </xf>
    <xf numFmtId="184" fontId="12" fillId="0" borderId="3" xfId="0" applyNumberFormat="1" applyFont="1" applyBorder="1" applyAlignment="1">
      <alignment horizontal="center" vertical="center"/>
    </xf>
    <xf numFmtId="0" fontId="12" fillId="4" borderId="3" xfId="0" applyFont="1" applyFill="1" applyBorder="1" applyAlignment="1" applyProtection="1">
      <alignment horizontal="left" vertical="center" wrapText="1"/>
      <protection locked="0"/>
    </xf>
    <xf numFmtId="4" fontId="12" fillId="0" borderId="3" xfId="0" applyNumberFormat="1" applyFont="1" applyBorder="1" applyAlignment="1" applyProtection="1">
      <alignment horizontal="center" vertical="center"/>
      <protection locked="0"/>
    </xf>
    <xf numFmtId="4" fontId="12" fillId="3" borderId="3" xfId="0" applyNumberFormat="1" applyFont="1" applyFill="1" applyBorder="1" applyAlignment="1" applyProtection="1">
      <alignment horizontal="center" vertical="center"/>
      <protection locked="0"/>
    </xf>
    <xf numFmtId="4" fontId="12" fillId="3" borderId="3" xfId="0" applyNumberFormat="1" applyFont="1" applyFill="1" applyBorder="1" applyAlignment="1">
      <alignment horizontal="center" vertical="center"/>
    </xf>
    <xf numFmtId="0" fontId="12" fillId="3" borderId="3" xfId="6" applyFont="1" applyFill="1" applyBorder="1" applyAlignment="1">
      <alignment horizontal="center" vertical="center"/>
    </xf>
    <xf numFmtId="0" fontId="38" fillId="3" borderId="3" xfId="0" applyFont="1" applyFill="1" applyBorder="1" applyAlignment="1" applyProtection="1">
      <alignment horizontal="left" vertical="top" wrapText="1"/>
      <protection locked="0"/>
    </xf>
    <xf numFmtId="0" fontId="14" fillId="4" borderId="3" xfId="0" applyFont="1" applyFill="1" applyBorder="1" applyAlignment="1" applyProtection="1">
      <alignment horizontal="center" vertical="center"/>
      <protection locked="0"/>
    </xf>
    <xf numFmtId="0" fontId="12" fillId="4" borderId="3" xfId="0" applyFont="1" applyFill="1" applyBorder="1" applyAlignment="1" applyProtection="1">
      <alignment horizontal="center" vertical="center" wrapText="1"/>
      <protection locked="0"/>
    </xf>
    <xf numFmtId="0" fontId="18" fillId="0" borderId="3" xfId="6" applyFont="1" applyBorder="1" applyAlignment="1">
      <alignment horizontal="left" vertical="center" wrapText="1"/>
    </xf>
    <xf numFmtId="0" fontId="16" fillId="0" borderId="3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4" borderId="3" xfId="0" applyFont="1" applyFill="1" applyBorder="1" applyAlignment="1">
      <alignment horizontal="center" vertical="center"/>
    </xf>
    <xf numFmtId="0" fontId="48" fillId="0" borderId="0" xfId="0" applyFont="1" applyAlignment="1" applyProtection="1">
      <alignment horizontal="left" vertical="center"/>
      <protection locked="0"/>
    </xf>
    <xf numFmtId="0" fontId="29" fillId="4" borderId="5" xfId="0" applyFont="1" applyFill="1" applyBorder="1" applyAlignment="1" applyProtection="1">
      <alignment horizontal="center" vertical="center" wrapText="1"/>
      <protection locked="0"/>
    </xf>
    <xf numFmtId="0" fontId="32" fillId="4" borderId="3" xfId="0" applyFont="1" applyFill="1" applyBorder="1" applyAlignment="1" applyProtection="1">
      <alignment horizontal="center" vertical="center" wrapText="1"/>
      <protection locked="0"/>
    </xf>
    <xf numFmtId="180" fontId="29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31" fillId="4" borderId="3" xfId="0" applyFont="1" applyFill="1" applyBorder="1" applyAlignment="1" applyProtection="1">
      <alignment horizontal="center" vertical="center" wrapText="1"/>
      <protection locked="0"/>
    </xf>
    <xf numFmtId="0" fontId="14" fillId="4" borderId="3" xfId="0" applyFont="1" applyFill="1" applyBorder="1" applyAlignment="1" applyProtection="1">
      <alignment horizontal="center" vertical="center" wrapText="1"/>
      <protection locked="0"/>
    </xf>
    <xf numFmtId="177" fontId="14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16" fillId="4" borderId="3" xfId="0" applyNumberFormat="1" applyFont="1" applyFill="1" applyBorder="1" applyAlignment="1" applyProtection="1">
      <alignment horizontal="center" vertical="center"/>
      <protection locked="0"/>
    </xf>
    <xf numFmtId="0" fontId="16" fillId="4" borderId="3" xfId="0" applyFont="1" applyFill="1" applyBorder="1" applyAlignment="1" applyProtection="1">
      <alignment horizontal="center" vertical="center"/>
      <protection locked="0"/>
    </xf>
    <xf numFmtId="180" fontId="16" fillId="4" borderId="3" xfId="0" applyNumberFormat="1" applyFont="1" applyFill="1" applyBorder="1" applyAlignment="1">
      <alignment horizontal="center" vertical="center" wrapText="1"/>
    </xf>
    <xf numFmtId="180" fontId="14" fillId="4" borderId="3" xfId="0" applyNumberFormat="1" applyFont="1" applyFill="1" applyBorder="1" applyAlignment="1">
      <alignment horizontal="center" vertical="center" wrapText="1"/>
    </xf>
    <xf numFmtId="0" fontId="31" fillId="4" borderId="17" xfId="0" applyFont="1" applyFill="1" applyBorder="1" applyAlignment="1" applyProtection="1">
      <alignment horizontal="center" vertical="center" wrapText="1"/>
      <protection locked="0"/>
    </xf>
    <xf numFmtId="0" fontId="31" fillId="4" borderId="18" xfId="0" applyFont="1" applyFill="1" applyBorder="1" applyAlignment="1" applyProtection="1">
      <alignment horizontal="center" vertical="center" wrapText="1"/>
      <protection locked="0"/>
    </xf>
    <xf numFmtId="0" fontId="16" fillId="3" borderId="19" xfId="0" applyFont="1" applyFill="1" applyBorder="1" applyProtection="1">
      <alignment vertical="center"/>
      <protection locked="0"/>
    </xf>
    <xf numFmtId="0" fontId="29" fillId="4" borderId="14" xfId="0" applyFont="1" applyFill="1" applyBorder="1" applyAlignment="1" applyProtection="1">
      <alignment horizontal="center" vertical="center" wrapText="1"/>
      <protection locked="0"/>
    </xf>
    <xf numFmtId="0" fontId="29" fillId="4" borderId="15" xfId="0" applyFont="1" applyFill="1" applyBorder="1" applyAlignment="1" applyProtection="1">
      <alignment horizontal="center" vertical="center" wrapText="1"/>
      <protection locked="0"/>
    </xf>
    <xf numFmtId="0" fontId="16" fillId="3" borderId="16" xfId="0" applyFont="1" applyFill="1" applyBorder="1" applyProtection="1">
      <alignment vertical="center"/>
      <protection locked="0"/>
    </xf>
    <xf numFmtId="0" fontId="18" fillId="9" borderId="13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4" fillId="8" borderId="13" xfId="0" applyFont="1" applyFill="1" applyBorder="1" applyAlignment="1" applyProtection="1">
      <alignment horizontal="center" vertical="center"/>
      <protection locked="0"/>
    </xf>
    <xf numFmtId="0" fontId="14" fillId="8" borderId="13" xfId="0" applyFont="1" applyFill="1" applyBorder="1" applyProtection="1">
      <alignment vertical="center"/>
      <protection locked="0"/>
    </xf>
    <xf numFmtId="0" fontId="50" fillId="8" borderId="13" xfId="0" applyFont="1" applyFill="1" applyBorder="1" applyAlignment="1" applyProtection="1">
      <alignment horizontal="center" vertical="center"/>
      <protection locked="0"/>
    </xf>
    <xf numFmtId="0" fontId="50" fillId="4" borderId="5" xfId="0" applyFont="1" applyFill="1" applyBorder="1" applyAlignment="1" applyProtection="1">
      <alignment horizontal="center" vertical="center" wrapText="1"/>
      <protection locked="0"/>
    </xf>
    <xf numFmtId="0" fontId="49" fillId="8" borderId="13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Protection="1">
      <alignment vertical="center"/>
      <protection locked="0"/>
    </xf>
    <xf numFmtId="0" fontId="18" fillId="8" borderId="3" xfId="0" applyFont="1" applyFill="1" applyBorder="1" applyAlignment="1" applyProtection="1">
      <alignment horizontal="center" vertical="center" wrapText="1"/>
      <protection locked="0"/>
    </xf>
    <xf numFmtId="0" fontId="14" fillId="8" borderId="3" xfId="0" applyFont="1" applyFill="1" applyBorder="1" applyAlignment="1" applyProtection="1">
      <alignment horizontal="center" vertical="center" wrapText="1"/>
      <protection locked="0"/>
    </xf>
    <xf numFmtId="49" fontId="14" fillId="8" borderId="13" xfId="0" applyNumberFormat="1" applyFont="1" applyFill="1" applyBorder="1" applyAlignment="1" applyProtection="1">
      <alignment horizontal="center" vertical="center"/>
      <protection locked="0"/>
    </xf>
    <xf numFmtId="49" fontId="14" fillId="8" borderId="13" xfId="0" applyNumberFormat="1" applyFont="1" applyFill="1" applyBorder="1" applyProtection="1">
      <alignment vertical="center"/>
      <protection locked="0"/>
    </xf>
    <xf numFmtId="49" fontId="14" fillId="8" borderId="13" xfId="0" applyNumberFormat="1" applyFont="1" applyFill="1" applyBorder="1" applyAlignment="1" applyProtection="1">
      <alignment vertical="center" wrapText="1"/>
      <protection locked="0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4" borderId="3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52" fillId="8" borderId="13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 vertical="top" wrapText="1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48" fillId="0" borderId="1" xfId="0" applyFont="1" applyBorder="1" applyAlignment="1" applyProtection="1">
      <alignment horizontal="left" vertical="center"/>
      <protection locked="0"/>
    </xf>
  </cellXfs>
  <cellStyles count="18">
    <cellStyle name="Followed Hyperlink" xfId="13" xr:uid="{00000000-0005-0000-0000-000040000000}"/>
    <cellStyle name="百分比" xfId="1" builtinId="5"/>
    <cellStyle name="百分比 2 2" xfId="11" xr:uid="{00000000-0005-0000-0000-00003C000000}"/>
    <cellStyle name="常规" xfId="0" builtinId="0"/>
    <cellStyle name="常规 100" xfId="4" xr:uid="{00000000-0005-0000-0000-000032000000}"/>
    <cellStyle name="常规 17" xfId="5" xr:uid="{00000000-0005-0000-0000-00003D000000}"/>
    <cellStyle name="常规 17 2" xfId="5" xr:uid="{00000000-0005-0000-0000-00003E000000}"/>
    <cellStyle name="常规 2" xfId="10" xr:uid="{00000000-0005-0000-0000-00003B000000}"/>
    <cellStyle name="常规 2 10 2" xfId="2" xr:uid="{00000000-0005-0000-0000-000030000000}"/>
    <cellStyle name="常规 2 2" xfId="7" xr:uid="{00000000-0005-0000-0000-000035000000}"/>
    <cellStyle name="常规 23" xfId="9" xr:uid="{00000000-0005-0000-0000-00003A000000}"/>
    <cellStyle name="常规 3" xfId="3" xr:uid="{00000000-0005-0000-0000-000039000000}"/>
    <cellStyle name="常规 3 4" xfId="5" xr:uid="{00000000-0005-0000-0000-000033000000}"/>
    <cellStyle name="常规 3 5" xfId="2" xr:uid="{00000000-0005-0000-0000-00002F000000}"/>
    <cellStyle name="常规 4" xfId="4" xr:uid="{00000000-0005-0000-0000-000038000000}"/>
    <cellStyle name="常规_2011.3月份项目成本核算表格（11张表）" xfId="6" xr:uid="{00000000-0005-0000-0000-000034000000}"/>
    <cellStyle name="千位分隔 2" xfId="12" xr:uid="{00000000-0005-0000-0000-00003F000000}"/>
    <cellStyle name="千位分隔 2 2 2" xfId="8" xr:uid="{00000000-0005-0000-0000-000037000000}"/>
  </cellStyles>
  <dxfs count="14"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C000"/>
      </font>
    </dxf>
    <dxf>
      <font>
        <color rgb="FFFF0000"/>
      </font>
    </dxf>
    <dxf>
      <font>
        <color theme="9"/>
      </font>
    </dxf>
    <dxf>
      <font>
        <color rgb="FFFFC000"/>
      </font>
    </dxf>
    <dxf>
      <font>
        <color rgb="FFFF0000"/>
      </font>
    </dxf>
    <dxf>
      <font>
        <color theme="9"/>
      </font>
    </dxf>
    <dxf>
      <font>
        <color rgb="FFFFC000"/>
      </font>
    </dxf>
    <dxf>
      <font>
        <color rgb="FFFF0000"/>
      </font>
    </dxf>
    <dxf>
      <font>
        <color theme="9"/>
      </font>
    </dxf>
    <dxf>
      <font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cator_analyse" displayName="indicator_analyse" ref="A20:F26" headerRowCount="0">
  <tableColumns count="6">
    <tableColumn id="1" xr3:uid="{00000000-0010-0000-0000-000001000000}" name="指标名称"/>
    <tableColumn id="2" xr3:uid="{00000000-0010-0000-0000-000002000000}" name="计算规则"/>
    <tableColumn id="3" xr3:uid="{00000000-0010-0000-0000-000003000000}" name="计算值"/>
    <tableColumn id="4" xr3:uid="{00000000-0010-0000-0000-000004000000}" name="参考值"/>
    <tableColumn id="5" xr3:uid="{00000000-0010-0000-0000-000005000000}" name="红绿灯"/>
    <tableColumn id="6" xr3:uid="{00000000-0010-0000-0000-000006000000}" name="原因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_analyse" displayName="risk_analyse" ref="B21:M36" headerRowCount="0">
  <tableColumns count="12">
    <tableColumn id="1" xr3:uid="{00000000-0010-0000-0100-000001000000}" name="风险要素"/>
    <tableColumn id="2" xr3:uid="{00000000-0010-0000-0100-000002000000}" name="skip"/>
    <tableColumn id="3" xr3:uid="{00000000-0010-0000-0100-000003000000}" name="结果值"/>
    <tableColumn id="4" xr3:uid="{00000000-0010-0000-0100-000004000000}" name="skip2"/>
    <tableColumn id="5" xr3:uid="{00000000-0010-0000-0100-000005000000}" name="参考值"/>
    <tableColumn id="6" xr3:uid="{00000000-0010-0000-0100-000006000000}" name="skip3"/>
    <tableColumn id="7" xr3:uid="{00000000-0010-0000-0100-000007000000}" name="红绿灯"/>
    <tableColumn id="8" xr3:uid="{00000000-0010-0000-0100-000008000000}" name="存在问题原因分析"/>
    <tableColumn id="9" xr3:uid="{00000000-0010-0000-0100-000009000000}" name="skip4"/>
    <tableColumn id="10" xr3:uid="{00000000-0010-0000-0100-00000A000000}" name="改进措施及风险防控"/>
    <tableColumn id="11" xr3:uid="{00000000-0010-0000-0100-00000B000000}" name="skip5"/>
    <tableColumn id="12" xr3:uid="{00000000-0010-0000-0100-00000C000000}" name="备注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ster_fee" displayName="master_fee" ref="A41:M46" headerRowCount="0">
  <tableColumns count="13">
    <tableColumn id="1" xr3:uid="{00000000-0010-0000-0200-000001000000}" name="项目名称"/>
    <tableColumn id="2" xr3:uid="{00000000-0010-0000-0200-000002000000}" name="范围"/>
    <tableColumn id="3" xr3:uid="{00000000-0010-0000-0200-000003000000}" name="目标成本-金额"/>
    <tableColumn id="4" xr3:uid="{00000000-0010-0000-0200-000004000000}" name="目标成本-单方造价"/>
    <tableColumn id="5" xr3:uid="{00000000-0010-0000-0200-000005000000}" name="已签合同-金额"/>
    <tableColumn id="6" xr3:uid="{00000000-0010-0000-0200-000006000000}" name="已签合同-单方造价"/>
    <tableColumn id="7" xr3:uid="{00000000-0010-0000-0200-000007000000}" name="实际发生-金额"/>
    <tableColumn id="8" xr3:uid="{00000000-0010-0000-0200-000008000000}" name="实际发生-单方造价"/>
    <tableColumn id="9" xr3:uid="{00000000-0010-0000-0200-000009000000}" name="实际发生-已确认金额"/>
    <tableColumn id="10" xr3:uid="{00000000-0010-0000-0200-00000A000000}" name="实际发生-已确认金额-单方造价"/>
    <tableColumn id="11" xr3:uid="{00000000-0010-0000-0200-00000B000000}" name="红绿灯"/>
    <tableColumn id="12" xr3:uid="{00000000-0010-0000-0200-00000C000000}" name="存在问题原因分析"/>
    <tableColumn id="13" xr3:uid="{00000000-0010-0000-0200-00000D000000}" name="备注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come_unconfirmed_analyse" displayName="income_unconfirmed_analyse" ref="B5:E8" headerRowCount="0">
  <tableColumns count="4">
    <tableColumn id="1" xr3:uid="{00000000-0010-0000-0300-000001000000}" name="名称"/>
    <tableColumn id="4" xr3:uid="{00000000-0010-0000-0300-000004000000}" name="Column1"/>
    <tableColumn id="2" xr3:uid="{00000000-0010-0000-0300-000002000000}" name="主要内容"/>
    <tableColumn id="3" xr3:uid="{00000000-0010-0000-0300-000003000000}" name="备注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st_pay_detail" displayName="cost_pay_detail" ref="A7:AQ81" headerRowCount="0">
  <tableColumns count="43">
    <tableColumn id="1" xr3:uid="{00000000-0010-0000-0400-000001000000}" name="序号"/>
    <tableColumn id="2" xr3:uid="{00000000-0010-0000-0400-000002000000}" name="成本项目"/>
    <tableColumn id="3" xr3:uid="{00000000-0010-0000-0400-000003000000}" name="成本科目代码"/>
    <tableColumn id="4" xr3:uid="{00000000-0010-0000-0400-000004000000}" name="成本属性"/>
    <tableColumn id="5" xr3:uid="{00000000-0010-0000-0400-000005000000}" name="级数"/>
    <tableColumn id="6" xr3:uid="{00000000-0010-0000-0400-000006000000}" name="基本信息_合同编码"/>
    <tableColumn id="7" xr3:uid="{00000000-0010-0000-0400-000007000000}" name="基本信息_合同名称"/>
    <tableColumn id="8" xr3:uid="{00000000-0010-0000-0400-000008000000}" name="基本信息_合同内容"/>
    <tableColumn id="9" xr3:uid="{00000000-0010-0000-0400-000009000000}" name="基本信息_分/供商名称"/>
    <tableColumn id="10" xr3:uid="{00000000-0010-0000-0400-00000A000000}" name="基本信息_合同总金额"/>
    <tableColumn id="11" xr3:uid="{00000000-0010-0000-0400-00000B000000}" name="基本信息_合同付款比例"/>
    <tableColumn id="12" xr3:uid="{00000000-0010-0000-0400-00000C000000}" name="基本信息_合同税率"/>
    <tableColumn id="13" xr3:uid="{00000000-0010-0000-0400-00000D000000}" name="基本信息_合同是否办理结算"/>
    <tableColumn id="14" xr3:uid="{00000000-0010-0000-0400-00000E000000}" name="自开工累计已发生成本_已确认"/>
    <tableColumn id="15" xr3:uid="{00000000-0010-0000-0400-00000F000000}" name="自开工累计已发生成本_待确认"/>
    <tableColumn id="16" xr3:uid="{00000000-0010-0000-0400-000010000000}" name="自开工累计已发生成本_合计"/>
    <tableColumn id="38" xr3:uid="{00000000-0010-0000-0400-000026000000}" name="Column1"/>
    <tableColumn id="17" xr3:uid="{00000000-0010-0000-0400-000011000000}" name="本月已发生成本_已确认"/>
    <tableColumn id="18" xr3:uid="{00000000-0010-0000-0400-000012000000}" name="本月已发生成本_待确认"/>
    <tableColumn id="19" xr3:uid="{00000000-0010-0000-0400-000013000000}" name="本月已发生成本_合计"/>
    <tableColumn id="20" xr3:uid="{00000000-0010-0000-0400-000014000000}" name="成本刚性度"/>
    <tableColumn id="21" xr3:uid="{00000000-0010-0000-0400-000015000000}" name="开累已确应付款(合约)"/>
    <tableColumn id="40" xr3:uid="{00000000-0010-0000-0400-000028000000}" name="Column3"/>
    <tableColumn id="22" xr3:uid="{00000000-0010-0000-0400-000016000000}" name="开累已付款"/>
    <tableColumn id="23" xr3:uid="{00000000-0010-0000-0400-000017000000}" name="开累已付款比例"/>
    <tableColumn id="24" xr3:uid="{00000000-0010-0000-0400-000018000000}" name="开累应付未付款(合约)"/>
    <tableColumn id="39" xr3:uid="{00000000-0010-0000-0400-000027000000}" name="Column2"/>
    <tableColumn id="25" xr3:uid="{00000000-0010-0000-0400-000019000000}" name="开累应付未付款(不含待确)"/>
    <tableColumn id="26" xr3:uid="{00000000-0010-0000-0400-00001A000000}" name="开累应付未付款(待确)"/>
    <tableColumn id="27" xr3:uid="{00000000-0010-0000-0400-00001B000000}" name="开累应付未付款_合计"/>
    <tableColumn id="28" xr3:uid="{00000000-0010-0000-0400-00001C000000}" name="资金计划_付款方式"/>
    <tableColumn id="29" xr3:uid="{00000000-0010-0000-0400-00001D000000}" name="资金计划_付款类型"/>
    <tableColumn id="30" xr3:uid="{00000000-0010-0000-0400-00001E000000}" name="资金计划_支出计划"/>
    <tableColumn id="31" xr3:uid="{00000000-0010-0000-0400-00001F000000}" name="资金计划_计划累计付款比例"/>
    <tableColumn id="32" xr3:uid="{00000000-0010-0000-0400-000020000000}" name="资金计划_公司批准资金"/>
    <tableColumn id="33" xr3:uid="{00000000-0010-0000-0400-000021000000}" name="资金计划_公司批准累计付款比例"/>
    <tableColumn id="34" xr3:uid="{00000000-0010-0000-0400-000022000000}" name="上月资金计划执行情况_上月审批数"/>
    <tableColumn id="35" xr3:uid="{00000000-0010-0000-0400-000023000000}" name="上月资金计划执行情况_上月执行数"/>
    <tableColumn id="43" xr3:uid="{00000000-0010-0000-0400-00002B000000}" name="Column6"/>
    <tableColumn id="42" xr3:uid="{00000000-0010-0000-0400-00002A000000}" name="Column5"/>
    <tableColumn id="41" xr3:uid="{00000000-0010-0000-0400-000029000000}" name="Column4"/>
    <tableColumn id="36" xr3:uid="{00000000-0010-0000-0400-000024000000}" name="备注"/>
    <tableColumn id="37" xr3:uid="{00000000-0010-0000-0400-000025000000}" name="合同id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st_unconfirmed_analyse" displayName="cost_unconfirmed_analyse" ref="A5:L194" headerRowCount="0">
  <tableColumns count="12">
    <tableColumn id="1" xr3:uid="{00000000-0010-0000-0500-000001000000}" name="序号"/>
    <tableColumn id="2" xr3:uid="{00000000-0010-0000-0500-000002000000}" name="合同编码"/>
    <tableColumn id="3" xr3:uid="{00000000-0010-0000-0500-000003000000}" name="合同名称"/>
    <tableColumn id="4" xr3:uid="{00000000-0010-0000-0500-000004000000}" name="合同内容"/>
    <tableColumn id="5" xr3:uid="{00000000-0010-0000-0500-000005000000}" name="分/供商名称"/>
    <tableColumn id="6" xr3:uid="{00000000-0010-0000-0500-000006000000}" name="合同总金额"/>
    <tableColumn id="7" xr3:uid="{00000000-0010-0000-0500-000007000000}" name="付款比例"/>
    <tableColumn id="8" xr3:uid="{00000000-0010-0000-0500-000008000000}" name="税率"/>
    <tableColumn id="9" xr3:uid="{00000000-0010-0000-0500-000009000000}" name="是否办理结算"/>
    <tableColumn id="10" xr3:uid="{00000000-0010-0000-0500-00000A000000}" name="预估金额(含税)"/>
    <tableColumn id="11" xr3:uid="{00000000-0010-0000-0500-00000B000000}" name="主要原因分析"/>
    <tableColumn id="12" xr3:uid="{00000000-0010-0000-0500-00000C000000}" name="备注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come_outcome_summary" displayName="income_outcome_summary" ref="A5:E287" headerRowCount="0">
  <tableColumns count="5">
    <tableColumn id="1" xr3:uid="{00000000-0010-0000-0600-000001000000}" name="科目号"/>
    <tableColumn id="2" xr3:uid="{00000000-0010-0000-0600-000002000000}" name="科目名称"/>
    <tableColumn id="3" xr3:uid="{00000000-0010-0000-0600-000003000000}" name="项目金额"/>
    <tableColumn id="4" xr3:uid="{00000000-0010-0000-0600-000004000000}" name="公司金额"/>
    <tableColumn id="5" xr3:uid="{00000000-0010-0000-0600-000005000000}" name="合计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F75C-9041-6C1F-0A51-B713AFFB7B9D}">
  <dimension ref="A1:C44"/>
  <sheetViews>
    <sheetView tabSelected="1" workbookViewId="0">
      <selection activeCell="E7" sqref="E7"/>
    </sheetView>
  </sheetViews>
  <sheetFormatPr defaultColWidth="9" defaultRowHeight="14" customHeight="1"/>
  <cols>
    <col min="1" max="1" width="97.41015625" customWidth="1"/>
  </cols>
  <sheetData>
    <row r="1" spans="1:3" ht="24.75" customHeight="1">
      <c r="A1" s="87"/>
      <c r="B1" s="87"/>
      <c r="C1" s="87"/>
    </row>
    <row r="2" spans="1:3" ht="24.75" customHeight="1">
      <c r="A2" s="87"/>
      <c r="B2" s="87"/>
      <c r="C2" s="87"/>
    </row>
    <row r="3" spans="1:3" ht="24.75" customHeight="1">
      <c r="A3" s="87"/>
      <c r="B3" s="87"/>
      <c r="C3" s="87"/>
    </row>
    <row r="4" spans="1:3" ht="24.75" customHeight="1">
      <c r="A4" s="87"/>
      <c r="B4" s="87"/>
      <c r="C4" s="87"/>
    </row>
    <row r="5" spans="1:3" ht="24.75" customHeight="1">
      <c r="A5" s="87"/>
      <c r="B5" s="87"/>
      <c r="C5" s="87"/>
    </row>
    <row r="6" spans="1:3" ht="24.75" customHeight="1">
      <c r="A6" s="88"/>
      <c r="B6" s="87"/>
      <c r="C6" s="87"/>
    </row>
    <row r="7" spans="1:3" ht="24.75" customHeight="1">
      <c r="A7" s="89" t="s">
        <v>0</v>
      </c>
      <c r="B7" s="87"/>
      <c r="C7" s="87"/>
    </row>
    <row r="8" spans="1:3" ht="48" customHeight="1">
      <c r="A8" s="355" t="s">
        <v>1</v>
      </c>
      <c r="B8" s="355"/>
      <c r="C8" s="87"/>
    </row>
    <row r="9" spans="1:3" ht="18" customHeight="1">
      <c r="A9" s="90"/>
      <c r="B9" s="87"/>
      <c r="C9" s="87"/>
    </row>
    <row r="10" spans="1:3" ht="24.75" customHeight="1">
      <c r="A10" s="91" t="s">
        <v>2</v>
      </c>
      <c r="B10" s="87"/>
      <c r="C10" s="87"/>
    </row>
    <row r="11" spans="1:3" ht="24.75" customHeight="1">
      <c r="A11" s="87"/>
      <c r="B11" s="87"/>
      <c r="C11" s="87"/>
    </row>
    <row r="12" spans="1:3" ht="24.75" customHeight="1">
      <c r="A12" s="87"/>
      <c r="B12" s="87"/>
      <c r="C12" s="87"/>
    </row>
    <row r="13" spans="1:3" ht="24.75" customHeight="1">
      <c r="A13" s="87"/>
      <c r="B13" s="87"/>
      <c r="C13" s="87"/>
    </row>
    <row r="14" spans="1:3" ht="24.75" customHeight="1">
      <c r="A14" s="87"/>
      <c r="B14" s="87"/>
      <c r="C14" s="87"/>
    </row>
    <row r="15" spans="1:3" ht="24.75" customHeight="1">
      <c r="A15" s="87"/>
      <c r="B15" s="87"/>
      <c r="C15" s="87"/>
    </row>
    <row r="16" spans="1:3" ht="24.75" customHeight="1">
      <c r="A16" s="87"/>
      <c r="B16" s="87"/>
      <c r="C16" s="87"/>
    </row>
    <row r="17" spans="1:3" ht="24.75" customHeight="1">
      <c r="A17" s="87"/>
      <c r="B17" s="87"/>
      <c r="C17" s="87"/>
    </row>
    <row r="18" spans="1:3" ht="24.75" customHeight="1">
      <c r="A18" s="87"/>
      <c r="B18" s="87"/>
      <c r="C18" s="87"/>
    </row>
    <row r="19" spans="1:3" ht="24.75" customHeight="1">
      <c r="A19" s="87"/>
      <c r="B19" s="87"/>
      <c r="C19" s="87"/>
    </row>
    <row r="20" spans="1:3" ht="24.75" customHeight="1">
      <c r="A20" s="87"/>
      <c r="B20" s="87"/>
      <c r="C20" s="87"/>
    </row>
    <row r="21" spans="1:3" ht="24.75" customHeight="1">
      <c r="A21" s="87"/>
      <c r="B21" s="87"/>
      <c r="C21" s="87"/>
    </row>
    <row r="22" spans="1:3" ht="24.75" customHeight="1">
      <c r="A22" s="87"/>
      <c r="B22" s="87"/>
      <c r="C22" s="87"/>
    </row>
    <row r="23" spans="1:3" ht="24.75" customHeight="1">
      <c r="A23" s="87"/>
      <c r="B23" s="87"/>
      <c r="C23" s="87"/>
    </row>
    <row r="24" spans="1:3" ht="24.75" customHeight="1">
      <c r="A24" s="87"/>
      <c r="B24" s="87"/>
      <c r="C24" s="87"/>
    </row>
    <row r="25" spans="1:3" ht="24.75" customHeight="1">
      <c r="A25" s="87"/>
      <c r="B25" s="87"/>
      <c r="C25" s="87"/>
    </row>
    <row r="26" spans="1:3" ht="24.75" customHeight="1">
      <c r="A26" s="87"/>
      <c r="B26" s="87"/>
      <c r="C26" s="87"/>
    </row>
    <row r="27" spans="1:3" ht="35.25" customHeight="1">
      <c r="A27" s="356" t="s">
        <v>816</v>
      </c>
      <c r="B27" s="356"/>
      <c r="C27" s="87"/>
    </row>
    <row r="28" spans="1:3" ht="35.25" customHeight="1">
      <c r="A28" s="356" t="s">
        <v>3</v>
      </c>
      <c r="B28" s="356"/>
      <c r="C28" s="87"/>
    </row>
    <row r="29" spans="1:3" ht="35.25" customHeight="1">
      <c r="A29" s="356" t="s">
        <v>4</v>
      </c>
      <c r="B29" s="356"/>
      <c r="C29" s="87"/>
    </row>
    <row r="30" spans="1:3" ht="24.75" customHeight="1">
      <c r="A30" s="356"/>
      <c r="B30" s="356"/>
      <c r="C30" s="87"/>
    </row>
    <row r="31" spans="1:3" ht="24.75" customHeight="1">
      <c r="A31" s="87"/>
      <c r="B31" s="87"/>
      <c r="C31" s="87"/>
    </row>
    <row r="32" spans="1:3" ht="24.75" customHeight="1">
      <c r="A32" s="87"/>
      <c r="B32" s="87"/>
      <c r="C32" s="87"/>
    </row>
    <row r="33" spans="1:3" ht="24.75" customHeight="1">
      <c r="A33" s="87"/>
      <c r="B33" s="87"/>
      <c r="C33" s="87"/>
    </row>
    <row r="34" spans="1:3" ht="24.75" customHeight="1">
      <c r="A34" s="87"/>
      <c r="B34" s="87"/>
      <c r="C34" s="87"/>
    </row>
    <row r="35" spans="1:3" ht="24.75" customHeight="1">
      <c r="A35" s="87"/>
      <c r="B35" s="87"/>
      <c r="C35" s="87"/>
    </row>
    <row r="36" spans="1:3" ht="24.75" customHeight="1">
      <c r="A36" s="87"/>
      <c r="B36" s="87"/>
      <c r="C36" s="87"/>
    </row>
    <row r="37" spans="1:3" ht="24.75" customHeight="1">
      <c r="A37" s="87"/>
      <c r="B37" s="87"/>
      <c r="C37" s="87"/>
    </row>
    <row r="38" spans="1:3" ht="24.75" customHeight="1">
      <c r="A38" s="87"/>
      <c r="B38" s="87"/>
      <c r="C38" s="87"/>
    </row>
    <row r="39" spans="1:3" ht="24.75" customHeight="1">
      <c r="A39" s="87"/>
      <c r="B39" s="87"/>
      <c r="C39" s="87"/>
    </row>
    <row r="40" spans="1:3" ht="24.75" customHeight="1">
      <c r="A40" s="87"/>
      <c r="B40" s="87"/>
      <c r="C40" s="87"/>
    </row>
    <row r="41" spans="1:3" ht="24.75" customHeight="1">
      <c r="A41" s="87"/>
      <c r="B41" s="87"/>
      <c r="C41" s="87"/>
    </row>
    <row r="42" spans="1:3" ht="24.75" customHeight="1">
      <c r="A42" s="87"/>
      <c r="B42" s="87"/>
      <c r="C42" s="87"/>
    </row>
    <row r="43" spans="1:3" ht="24.75" customHeight="1">
      <c r="A43" s="87"/>
      <c r="B43" s="87"/>
      <c r="C43" s="87"/>
    </row>
    <row r="44" spans="1:3" ht="24.75" customHeight="1"/>
  </sheetData>
  <mergeCells count="5">
    <mergeCell ref="A8:B8"/>
    <mergeCell ref="A27:B27"/>
    <mergeCell ref="A28:B28"/>
    <mergeCell ref="A29:B29"/>
    <mergeCell ref="A30:B30"/>
  </mergeCells>
  <phoneticPr fontId="6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45F8-5B57-D874-FDCD-9A2F2390FB7F}">
  <dimension ref="A1:C15"/>
  <sheetViews>
    <sheetView workbookViewId="0">
      <selection activeCell="C7" sqref="C7"/>
    </sheetView>
  </sheetViews>
  <sheetFormatPr defaultColWidth="9" defaultRowHeight="16.850000000000001" customHeight="1"/>
  <cols>
    <col min="1" max="1" width="63.5859375" style="84" customWidth="1"/>
    <col min="2" max="2" width="12.1171875" style="85" customWidth="1"/>
    <col min="3" max="3" width="11.1171875" style="84" customWidth="1"/>
  </cols>
  <sheetData>
    <row r="1" spans="1:3" s="83" customFormat="1" ht="59.25" customHeight="1">
      <c r="A1" s="357" t="s">
        <v>5</v>
      </c>
      <c r="B1" s="357"/>
    </row>
    <row r="2" spans="1:3" ht="35.25" customHeight="1">
      <c r="A2" s="92" t="s">
        <v>6</v>
      </c>
      <c r="B2" s="92" t="s">
        <v>7</v>
      </c>
      <c r="C2" s="85" t="s">
        <v>8</v>
      </c>
    </row>
    <row r="3" spans="1:3" ht="35.25" customHeight="1">
      <c r="A3" s="92" t="s">
        <v>9</v>
      </c>
      <c r="B3" s="92" t="s">
        <v>10</v>
      </c>
      <c r="C3" s="85" t="s">
        <v>8</v>
      </c>
    </row>
    <row r="4" spans="1:3" ht="35.25" customHeight="1">
      <c r="A4" s="92" t="s">
        <v>11</v>
      </c>
      <c r="B4" s="92" t="s">
        <v>12</v>
      </c>
      <c r="C4" s="85" t="s">
        <v>8</v>
      </c>
    </row>
    <row r="5" spans="1:3" ht="35.25" customHeight="1">
      <c r="A5" s="92" t="s">
        <v>13</v>
      </c>
      <c r="B5" s="92" t="s">
        <v>14</v>
      </c>
      <c r="C5" s="85" t="s">
        <v>15</v>
      </c>
    </row>
    <row r="6" spans="1:3" ht="35.25" customHeight="1">
      <c r="A6" s="92" t="s">
        <v>16</v>
      </c>
      <c r="B6" s="92" t="s">
        <v>17</v>
      </c>
      <c r="C6" s="85" t="s">
        <v>15</v>
      </c>
    </row>
    <row r="7" spans="1:3" ht="35.25" customHeight="1">
      <c r="A7" s="92" t="s">
        <v>18</v>
      </c>
      <c r="B7" s="92" t="s">
        <v>19</v>
      </c>
      <c r="C7" s="85" t="s">
        <v>8</v>
      </c>
    </row>
    <row r="8" spans="1:3" ht="35.25" customHeight="1">
      <c r="A8" s="92" t="s">
        <v>20</v>
      </c>
      <c r="B8" s="92" t="s">
        <v>21</v>
      </c>
      <c r="C8" s="85" t="s">
        <v>22</v>
      </c>
    </row>
    <row r="9" spans="1:3" ht="35.25" customHeight="1">
      <c r="A9" s="92" t="s">
        <v>23</v>
      </c>
      <c r="B9" s="92" t="s">
        <v>24</v>
      </c>
      <c r="C9" s="85" t="s">
        <v>22</v>
      </c>
    </row>
    <row r="10" spans="1:3" ht="35.25" customHeight="1">
      <c r="A10" s="92" t="s">
        <v>25</v>
      </c>
      <c r="B10" s="92" t="s">
        <v>26</v>
      </c>
      <c r="C10" s="85" t="s">
        <v>22</v>
      </c>
    </row>
    <row r="11" spans="1:3" ht="35.25" customHeight="1">
      <c r="A11" s="92" t="s">
        <v>27</v>
      </c>
      <c r="B11" s="92" t="s">
        <v>28</v>
      </c>
      <c r="C11" s="85" t="s">
        <v>22</v>
      </c>
    </row>
    <row r="12" spans="1:3" s="84" customFormat="1" ht="30" customHeight="1">
      <c r="A12" s="93"/>
      <c r="B12" s="93"/>
    </row>
    <row r="13" spans="1:3" s="84" customFormat="1" ht="30" customHeight="1">
      <c r="A13" s="93"/>
      <c r="B13" s="93"/>
    </row>
    <row r="14" spans="1:3" s="84" customFormat="1" ht="30" customHeight="1">
      <c r="A14" s="93"/>
      <c r="B14" s="93"/>
    </row>
    <row r="15" spans="1:3" s="84" customFormat="1" ht="30" customHeight="1"/>
  </sheetData>
  <mergeCells count="1">
    <mergeCell ref="A1:B1"/>
  </mergeCells>
  <phoneticPr fontId="6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5018-322B-3149-A458-EBE109FC059E}">
  <dimension ref="A1:C5"/>
  <sheetViews>
    <sheetView zoomScale="160" workbookViewId="0">
      <selection activeCell="A5" sqref="A5:C5"/>
    </sheetView>
  </sheetViews>
  <sheetFormatPr defaultColWidth="9" defaultRowHeight="14" customHeight="1"/>
  <cols>
    <col min="1" max="1" width="12" style="18" customWidth="1"/>
    <col min="2" max="2" width="37.703125" customWidth="1"/>
    <col min="3" max="3" width="38.29296875" customWidth="1"/>
  </cols>
  <sheetData>
    <row r="1" spans="1:3" ht="60.75" customHeight="1">
      <c r="A1" s="358" t="s">
        <v>29</v>
      </c>
      <c r="B1" s="359"/>
      <c r="C1" s="360"/>
    </row>
    <row r="2" spans="1:3" ht="51.75" customHeight="1">
      <c r="A2" s="361" t="s">
        <v>30</v>
      </c>
      <c r="B2" s="361"/>
      <c r="C2" s="362"/>
    </row>
    <row r="3" spans="1:3" ht="93" customHeight="1">
      <c r="A3" s="363" t="s">
        <v>31</v>
      </c>
      <c r="B3" s="364"/>
      <c r="C3" s="365"/>
    </row>
    <row r="4" spans="1:3" ht="57" customHeight="1">
      <c r="A4" s="361" t="s">
        <v>32</v>
      </c>
      <c r="B4" s="366"/>
      <c r="C4" s="367"/>
    </row>
    <row r="5" spans="1:3" ht="99.75" customHeight="1">
      <c r="A5" s="362" t="s">
        <v>33</v>
      </c>
      <c r="B5" s="362"/>
      <c r="C5" s="362"/>
    </row>
  </sheetData>
  <mergeCells count="5">
    <mergeCell ref="A1:C1"/>
    <mergeCell ref="A2:C2"/>
    <mergeCell ref="A3:C3"/>
    <mergeCell ref="A4:C4"/>
    <mergeCell ref="A5:C5"/>
  </mergeCells>
  <phoneticPr fontId="6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CB81-0447-9FB8-734F-81EFA69687A6}">
  <dimension ref="A1:F26"/>
  <sheetViews>
    <sheetView showGridLines="0" topLeftCell="A10" workbookViewId="0">
      <selection activeCell="I9" sqref="I9"/>
    </sheetView>
  </sheetViews>
  <sheetFormatPr defaultColWidth="9" defaultRowHeight="17.600000000000001" customHeight="1"/>
  <cols>
    <col min="1" max="6" width="16.41015625" style="70" customWidth="1"/>
  </cols>
  <sheetData>
    <row r="1" spans="1:6" ht="54.75" customHeight="1">
      <c r="A1" s="368" t="s">
        <v>34</v>
      </c>
      <c r="B1" s="369"/>
      <c r="C1" s="369"/>
      <c r="D1" s="369"/>
      <c r="E1" s="369"/>
      <c r="F1" s="370"/>
    </row>
    <row r="2" spans="1:6" ht="23.25" customHeight="1">
      <c r="A2" s="95" t="s">
        <v>35</v>
      </c>
      <c r="B2" s="378"/>
      <c r="C2" s="379"/>
      <c r="D2" s="96" t="s">
        <v>36</v>
      </c>
      <c r="E2" s="96"/>
      <c r="F2" s="97" t="s">
        <v>37</v>
      </c>
    </row>
    <row r="3" spans="1:6" ht="29.25" customHeight="1">
      <c r="A3" s="98" t="s">
        <v>38</v>
      </c>
      <c r="B3" s="371">
        <f>'项目月度商务管理汇总表-表3'!B7</f>
        <v>0</v>
      </c>
      <c r="C3" s="371"/>
      <c r="D3" s="371"/>
      <c r="E3" s="98" t="s">
        <v>39</v>
      </c>
      <c r="F3" s="100">
        <f>'项目月度商务管理汇总表-表3'!S7</f>
        <v>0</v>
      </c>
    </row>
    <row r="4" spans="1:6" ht="29.25" customHeight="1">
      <c r="A4" s="372" t="s">
        <v>40</v>
      </c>
      <c r="B4" s="372"/>
      <c r="C4" s="373"/>
      <c r="D4" s="373"/>
      <c r="E4" s="373"/>
      <c r="F4" s="374"/>
    </row>
    <row r="5" spans="1:6" ht="29.25" customHeight="1">
      <c r="A5" s="98" t="s">
        <v>41</v>
      </c>
      <c r="B5" s="101">
        <f>'项目月度商务管理汇总表-表3'!BM7</f>
        <v>0</v>
      </c>
      <c r="C5" s="98" t="s">
        <v>42</v>
      </c>
      <c r="D5" s="101">
        <f>'项目月度商务管理汇总表-表3'!BU7</f>
        <v>0</v>
      </c>
      <c r="E5" s="98" t="s">
        <v>43</v>
      </c>
      <c r="F5" s="100">
        <f>'项目月度商务管理汇总表-表3'!CC7+'项目月度商务管理汇总表-表3'!CG7+'项目月度商务管理汇总表-表3'!CH7</f>
        <v>0</v>
      </c>
    </row>
    <row r="6" spans="1:6" ht="29.25" customHeight="1">
      <c r="A6" s="98" t="s">
        <v>44</v>
      </c>
      <c r="B6" s="101">
        <f>'项目月度商务管理汇总表-表3'!CI7</f>
        <v>0</v>
      </c>
      <c r="C6" s="98" t="s">
        <v>45</v>
      </c>
      <c r="D6" s="101">
        <f>'项目月度商务管理汇总表-表3'!CU7</f>
        <v>0</v>
      </c>
      <c r="E6" s="98" t="s">
        <v>46</v>
      </c>
      <c r="F6" s="100">
        <f>'项目月度商务管理汇总表-表3'!CZ7+'项目月度商务管理汇总表-表3'!DD7+'项目月度商务管理汇总表-表3'!DE7</f>
        <v>0</v>
      </c>
    </row>
    <row r="7" spans="1:6" ht="29.25" customHeight="1">
      <c r="A7" s="98" t="s">
        <v>47</v>
      </c>
      <c r="B7" s="101">
        <f>IF(LOOKUP(1,0/(项目收支汇总表!A5:A306="1"),项目收支汇总表!C5:C306)&gt;=0,0,ABS(LOOKUP(1,0/(项目收支汇总表!A5:A306="1"),项目收支汇总表!C5:C306))-D7)</f>
        <v>0</v>
      </c>
      <c r="C7" s="98" t="s">
        <v>48</v>
      </c>
      <c r="D7" s="101">
        <f>LOOKUP(1,0/(项目收支汇总表!A5:A306="3.3.1"),项目收支汇总表!C5:C306)</f>
        <v>0</v>
      </c>
      <c r="E7" s="98"/>
      <c r="F7" s="79" t="str">
        <f>""</f>
        <v/>
      </c>
    </row>
    <row r="8" spans="1:6" s="69" customFormat="1" ht="39.75" customHeight="1">
      <c r="A8" s="102" t="s">
        <v>49</v>
      </c>
      <c r="B8" s="101">
        <f>'项目月度商务管理汇总表-表3'!DF7</f>
        <v>0</v>
      </c>
      <c r="C8" s="102" t="s">
        <v>50</v>
      </c>
      <c r="D8" s="103">
        <f>'项目月度商务管理汇总表-表3'!DG7</f>
        <v>0</v>
      </c>
      <c r="E8" s="102" t="s">
        <v>51</v>
      </c>
      <c r="F8" s="100">
        <f>F5-F6</f>
        <v>0</v>
      </c>
    </row>
    <row r="9" spans="1:6" s="69" customFormat="1" ht="29.25" customHeight="1">
      <c r="A9" s="98" t="s">
        <v>52</v>
      </c>
      <c r="B9" s="101">
        <f>'项目月度商务管理汇总表-表3'!AL7</f>
        <v>0</v>
      </c>
      <c r="C9" s="98" t="s">
        <v>53</v>
      </c>
      <c r="D9" s="103">
        <f>'项目月度商务管理汇总表-表3'!AW7</f>
        <v>0</v>
      </c>
      <c r="E9" s="104"/>
      <c r="F9" s="82" t="str">
        <f>""</f>
        <v/>
      </c>
    </row>
    <row r="10" spans="1:6" ht="29.25" customHeight="1">
      <c r="A10" s="98" t="s">
        <v>54</v>
      </c>
      <c r="B10" s="101">
        <f>'项目月度商务管理汇总表-表3'!DJ7</f>
        <v>0</v>
      </c>
      <c r="C10" s="98" t="s">
        <v>42</v>
      </c>
      <c r="D10" s="101">
        <f>'项目月度商务管理汇总表-表3'!DH7</f>
        <v>0</v>
      </c>
      <c r="E10" s="98" t="s">
        <v>43</v>
      </c>
      <c r="F10" s="105">
        <f>'项目月度商务管理汇总表-表3'!DI7</f>
        <v>0</v>
      </c>
    </row>
    <row r="11" spans="1:6" ht="29.25" customHeight="1">
      <c r="A11" s="98" t="s">
        <v>55</v>
      </c>
      <c r="B11" s="101">
        <f>'项目月度商务管理汇总表-表3'!DM7</f>
        <v>0</v>
      </c>
      <c r="C11" s="98" t="s">
        <v>45</v>
      </c>
      <c r="D11" s="101">
        <f>'项目月度商务管理汇总表-表3'!DK7</f>
        <v>0</v>
      </c>
      <c r="E11" s="98" t="s">
        <v>46</v>
      </c>
      <c r="F11" s="100">
        <f>'项目月度商务管理汇总表-表3'!DL7</f>
        <v>0</v>
      </c>
    </row>
    <row r="12" spans="1:6" ht="29.25" customHeight="1">
      <c r="A12" s="106" t="s">
        <v>56</v>
      </c>
      <c r="B12" s="107">
        <f>'项目月度商务管理汇总表-表3'!DP7</f>
        <v>0</v>
      </c>
      <c r="C12" s="106" t="s">
        <v>45</v>
      </c>
      <c r="D12" s="107">
        <f>'项目月度商务管理汇总表-表3'!DN7</f>
        <v>0</v>
      </c>
      <c r="E12" s="106" t="s">
        <v>46</v>
      </c>
      <c r="F12" s="108">
        <f>'项目月度商务管理汇总表-表3'!DO7</f>
        <v>0</v>
      </c>
    </row>
    <row r="13" spans="1:6" ht="39.75" customHeight="1">
      <c r="A13" s="102" t="s">
        <v>57</v>
      </c>
      <c r="B13" s="101">
        <f>B8+B10-B12</f>
        <v>0</v>
      </c>
      <c r="C13" s="102" t="s">
        <v>58</v>
      </c>
      <c r="D13" s="101">
        <f>D8+D10-D12</f>
        <v>0</v>
      </c>
      <c r="E13" s="102" t="s">
        <v>59</v>
      </c>
      <c r="F13" s="105">
        <f>F8+F10-F12</f>
        <v>0</v>
      </c>
    </row>
    <row r="14" spans="1:6" ht="29.25" customHeight="1">
      <c r="A14" s="375" t="s">
        <v>60</v>
      </c>
      <c r="B14" s="375"/>
      <c r="C14" s="376"/>
      <c r="D14" s="376"/>
      <c r="E14" s="376"/>
      <c r="F14" s="377"/>
    </row>
    <row r="15" spans="1:6" ht="29.25" customHeight="1">
      <c r="A15" s="109" t="s">
        <v>61</v>
      </c>
      <c r="B15" s="101">
        <f>'项目月度商务管理汇总表-表3'!AE7</f>
        <v>0</v>
      </c>
      <c r="C15" s="109" t="s">
        <v>62</v>
      </c>
      <c r="D15" s="101">
        <f>'项目月度商务管理汇总表-表3'!AN7</f>
        <v>0</v>
      </c>
      <c r="E15" s="110" t="s">
        <v>63</v>
      </c>
      <c r="F15" s="101">
        <f>'项目月度商务管理汇总表-表3'!BD7</f>
        <v>0</v>
      </c>
    </row>
    <row r="16" spans="1:6" ht="29.25" customHeight="1">
      <c r="A16" s="109" t="s">
        <v>64</v>
      </c>
      <c r="B16" s="101">
        <f>'项目月度商务管理汇总表-表3'!AG7</f>
        <v>0</v>
      </c>
      <c r="C16" s="109" t="s">
        <v>65</v>
      </c>
      <c r="D16" s="101">
        <f>'项目月度商务管理汇总表-表3'!AP7</f>
        <v>0</v>
      </c>
      <c r="E16" s="109" t="s">
        <v>66</v>
      </c>
      <c r="F16" s="101">
        <f>'项目月度商务管理汇总表-表3'!BB7</f>
        <v>0</v>
      </c>
    </row>
    <row r="17" spans="1:6" ht="29.25" customHeight="1">
      <c r="A17" s="375" t="s">
        <v>67</v>
      </c>
      <c r="B17" s="375"/>
      <c r="C17" s="376"/>
      <c r="D17" s="376"/>
      <c r="E17" s="376"/>
      <c r="F17" s="377"/>
    </row>
    <row r="18" spans="1:6" ht="29.25" customHeight="1">
      <c r="A18" s="98" t="s">
        <v>68</v>
      </c>
      <c r="B18" s="98" t="s">
        <v>69</v>
      </c>
      <c r="C18" s="98" t="s">
        <v>70</v>
      </c>
      <c r="D18" s="98" t="s">
        <v>71</v>
      </c>
      <c r="E18" s="98" t="s">
        <v>72</v>
      </c>
      <c r="F18" s="78" t="s">
        <v>73</v>
      </c>
    </row>
    <row r="19" spans="1:6" ht="29.25" hidden="1" customHeight="1">
      <c r="A19" s="98"/>
      <c r="B19" s="98"/>
      <c r="C19" s="98"/>
      <c r="D19" s="98"/>
      <c r="E19" s="98"/>
      <c r="F19" s="78"/>
    </row>
    <row r="20" spans="1:6" ht="29.25" customHeight="1">
      <c r="A20" s="99" t="str">
        <f>"[10]业主产值确权比"</f>
        <v>[10]业主产值确权比</v>
      </c>
      <c r="B20" s="111" t="str">
        <f>"已确权产值/总产值"</f>
        <v>已确权产值/总产值</v>
      </c>
      <c r="C20" s="112" t="e">
        <f>'项目月度商务管理汇总表-表3'!BF7</f>
        <v>#DIV/0!</v>
      </c>
      <c r="D20" s="99" t="str">
        <f>"主要根据合同约定，常规值≥85%"</f>
        <v>主要根据合同约定，常规值≥85%</v>
      </c>
      <c r="E20" s="113" t="s">
        <v>74</v>
      </c>
      <c r="F20" s="71"/>
    </row>
    <row r="21" spans="1:6" ht="29.25" customHeight="1">
      <c r="A21" s="99" t="str">
        <f>"[20]确权产值回款率"</f>
        <v>[20]确权产值回款率</v>
      </c>
      <c r="B21" s="111" t="str">
        <f>"业主已收款/已确权产值"</f>
        <v>业主已收款/已确权产值</v>
      </c>
      <c r="C21" s="112" t="e">
        <f>'项目月度商务管理汇总表-表3'!BG7</f>
        <v>#DIV/0!</v>
      </c>
      <c r="D21" s="99" t="str">
        <f>"主要根据合同约定，常规值≥75~80%"</f>
        <v>主要根据合同约定，常规值≥75~80%</v>
      </c>
      <c r="E21" s="113" t="s">
        <v>74</v>
      </c>
      <c r="F21" s="71"/>
    </row>
    <row r="22" spans="1:6" ht="29.25" customHeight="1">
      <c r="A22" s="99" t="str">
        <f>"[30]成本确权比"</f>
        <v>[30]成本确权比</v>
      </c>
      <c r="B22" s="111" t="str">
        <f>"已确权产值/总成本"</f>
        <v>已确权产值/总成本</v>
      </c>
      <c r="C22" s="112" t="e">
        <f>'项目月度商务管理汇总表-表3'!BH7</f>
        <v>#DIV/0!</v>
      </c>
      <c r="D22" s="99" t="str">
        <f>"主要根据合同约定，常规值≥85%"</f>
        <v>主要根据合同约定，常规值≥85%</v>
      </c>
      <c r="E22" s="113" t="s">
        <v>74</v>
      </c>
      <c r="F22" s="71"/>
    </row>
    <row r="23" spans="1:6" ht="29.25" customHeight="1">
      <c r="A23" s="99" t="s">
        <v>75</v>
      </c>
      <c r="B23" s="111" t="str">
        <f>"已确权成本/总成本"</f>
        <v>已确权成本/总成本</v>
      </c>
      <c r="C23" s="112" t="e">
        <f>'项目月度商务管理汇总表-表3'!BI7</f>
        <v>#DIV/0!</v>
      </c>
      <c r="D23" s="99" t="str">
        <f>"≥95%"</f>
        <v>≥95%</v>
      </c>
      <c r="E23" s="113" t="s">
        <v>74</v>
      </c>
      <c r="F23" s="71"/>
    </row>
    <row r="24" spans="1:6" ht="29.25" customHeight="1">
      <c r="A24" s="99" t="str">
        <f>"[50]产值现金流入比"</f>
        <v>[50]产值现金流入比</v>
      </c>
      <c r="B24" s="99" t="str">
        <f>"总收入/总产值"</f>
        <v>总收入/总产值</v>
      </c>
      <c r="C24" s="112" t="e">
        <f>'项目月度商务管理汇总表-表3'!BJ7</f>
        <v>#DIV/0!</v>
      </c>
      <c r="D24" s="99" t="str">
        <f>"≥70%"</f>
        <v>≥70%</v>
      </c>
      <c r="E24" s="113" t="s">
        <v>74</v>
      </c>
      <c r="F24" s="71"/>
    </row>
    <row r="25" spans="1:6" ht="29.25" customHeight="1">
      <c r="A25" s="99" t="str">
        <f>"[60]成本资金收入比"</f>
        <v>[60]成本资金收入比</v>
      </c>
      <c r="B25" s="99" t="str">
        <f>"总收入/总成本"</f>
        <v>总收入/总成本</v>
      </c>
      <c r="C25" s="112" t="e">
        <f>'项目月度商务管理汇总表-表3'!BK7</f>
        <v>#DIV/0!</v>
      </c>
      <c r="D25" s="99" t="str">
        <f>"主要根据合同约定判断"</f>
        <v>主要根据合同约定判断</v>
      </c>
      <c r="E25" s="113" t="s">
        <v>74</v>
      </c>
      <c r="F25" s="71"/>
    </row>
    <row r="26" spans="1:6" ht="29.25" customHeight="1">
      <c r="A26" s="80" t="str">
        <f>"[70]成本资金支出比"</f>
        <v>[70]成本资金支出比</v>
      </c>
      <c r="B26" s="81" t="str">
        <f>"总支出/总成本"</f>
        <v>总支出/总成本</v>
      </c>
      <c r="C26" s="112" t="e">
        <f>'项目月度商务管理汇总表-表3'!BL7</f>
        <v>#DIV/0!</v>
      </c>
      <c r="D26" s="80" t="str">
        <f>"65%~80%"</f>
        <v>65%~80%</v>
      </c>
      <c r="E26" s="71" t="s">
        <v>74</v>
      </c>
      <c r="F26" s="71"/>
    </row>
  </sheetData>
  <mergeCells count="6">
    <mergeCell ref="A1:F1"/>
    <mergeCell ref="B3:D3"/>
    <mergeCell ref="A4:F4"/>
    <mergeCell ref="A14:F14"/>
    <mergeCell ref="A17:F17"/>
    <mergeCell ref="B2:C2"/>
  </mergeCells>
  <phoneticPr fontId="61" type="noConversion"/>
  <conditionalFormatting sqref="E20:E26">
    <cfRule type="cellIs" dxfId="13" priority="4" operator="equal">
      <formula>"黄"</formula>
    </cfRule>
    <cfRule type="cellIs" dxfId="12" priority="5" operator="equal">
      <formula>"绿"</formula>
    </cfRule>
    <cfRule type="cellIs" dxfId="11" priority="6" operator="equal">
      <formula>"红"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F9EA-DCB6-A937-85CD-1EBDDED0D387}">
  <sheetPr>
    <outlinePr summaryBelow="0" summaryRight="0"/>
  </sheetPr>
  <dimension ref="A1:M47"/>
  <sheetViews>
    <sheetView showGridLines="0" workbookViewId="0">
      <selection activeCell="A17" sqref="A17:M17"/>
    </sheetView>
  </sheetViews>
  <sheetFormatPr defaultColWidth="9" defaultRowHeight="17.600000000000001" customHeight="1"/>
  <cols>
    <col min="1" max="1" width="13" style="69" customWidth="1"/>
    <col min="2" max="2" width="12.703125" style="69" customWidth="1"/>
    <col min="3" max="3" width="8.5859375" style="69" customWidth="1"/>
    <col min="4" max="4" width="12.1171875" style="69" customWidth="1"/>
    <col min="5" max="5" width="9.5859375" style="69" customWidth="1"/>
    <col min="6" max="6" width="11.5859375" style="69" customWidth="1"/>
    <col min="7" max="7" width="11.703125" style="69" customWidth="1"/>
    <col min="8" max="8" width="10.703125" style="69" customWidth="1"/>
    <col min="9" max="9" width="9.41015625" style="70" customWidth="1"/>
    <col min="10" max="10" width="10.5859375" style="69" customWidth="1"/>
    <col min="11" max="11" width="7.41015625" style="69" customWidth="1"/>
    <col min="12" max="12" width="23.41015625" style="69" customWidth="1"/>
    <col min="13" max="13" width="23" style="69" customWidth="1"/>
  </cols>
  <sheetData>
    <row r="1" spans="1:13" s="65" customFormat="1" ht="54.75" customHeight="1">
      <c r="A1" s="369" t="s">
        <v>76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1"/>
    </row>
    <row r="2" spans="1:13" ht="17.600000000000001" customHeight="1">
      <c r="A2" s="114" t="s">
        <v>35</v>
      </c>
      <c r="B2" s="415"/>
      <c r="C2" s="415"/>
      <c r="D2" s="415"/>
      <c r="E2" s="415"/>
      <c r="F2" s="415"/>
      <c r="G2" s="114" t="s">
        <v>36</v>
      </c>
      <c r="H2" s="415"/>
      <c r="I2" s="415"/>
      <c r="J2" s="114"/>
      <c r="K2" s="114"/>
      <c r="L2" s="114"/>
      <c r="M2" s="97" t="s">
        <v>37</v>
      </c>
    </row>
    <row r="3" spans="1:13" s="65" customFormat="1" ht="32.25" customHeight="1">
      <c r="A3" s="382" t="s">
        <v>77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3"/>
    </row>
    <row r="4" spans="1:13" s="66" customFormat="1" ht="35.25" customHeight="1">
      <c r="A4" s="115" t="s">
        <v>78</v>
      </c>
      <c r="B4" s="384">
        <f>'项目月度完全成本、付款明细表-表3.2'!P2</f>
        <v>0.03</v>
      </c>
      <c r="C4" s="384"/>
      <c r="D4" s="115" t="s">
        <v>79</v>
      </c>
      <c r="E4" s="385">
        <f>B4*D15</f>
        <v>0</v>
      </c>
      <c r="F4" s="385"/>
      <c r="G4" s="116" t="s">
        <v>80</v>
      </c>
      <c r="H4" s="386">
        <f>'项目月度商务管理汇总表-表3'!CT7</f>
        <v>0</v>
      </c>
      <c r="I4" s="386"/>
      <c r="J4" s="387" t="s">
        <v>81</v>
      </c>
      <c r="K4" s="388"/>
      <c r="L4" s="386">
        <f>'项目月度商务管理汇总表-表3'!BN7*B4-H4</f>
        <v>0</v>
      </c>
      <c r="M4" s="389"/>
    </row>
    <row r="5" spans="1:13" s="66" customFormat="1" ht="35.25" customHeight="1">
      <c r="A5" s="116" t="s">
        <v>82</v>
      </c>
      <c r="B5" s="386">
        <f>'项目月度商务管理汇总表-表3'!BB7</f>
        <v>0</v>
      </c>
      <c r="C5" s="386"/>
      <c r="D5" s="116" t="s">
        <v>83</v>
      </c>
      <c r="E5" s="390" t="e">
        <f>'项目月度商务管理汇总表-表3'!BC7</f>
        <v>#DIV/0!</v>
      </c>
      <c r="F5" s="390"/>
      <c r="G5" s="116" t="s">
        <v>84</v>
      </c>
      <c r="H5" s="386">
        <f>'项目月度商务管理汇总表-表3'!BD7</f>
        <v>0</v>
      </c>
      <c r="I5" s="386"/>
      <c r="J5" s="391" t="s">
        <v>85</v>
      </c>
      <c r="K5" s="391"/>
      <c r="L5" s="384" t="e">
        <f>'项目月度商务管理汇总表-表3'!BE7</f>
        <v>#DIV/0!</v>
      </c>
      <c r="M5" s="392"/>
    </row>
    <row r="6" spans="1:13" s="65" customFormat="1" ht="35.25" customHeight="1">
      <c r="A6" s="387" t="s">
        <v>86</v>
      </c>
      <c r="B6" s="393"/>
      <c r="C6" s="388"/>
      <c r="D6" s="113" t="s">
        <v>74</v>
      </c>
      <c r="E6" s="394" t="s">
        <v>87</v>
      </c>
      <c r="F6" s="394"/>
      <c r="G6" s="394"/>
      <c r="H6" s="394"/>
      <c r="I6" s="394"/>
      <c r="J6" s="394"/>
      <c r="K6" s="394"/>
      <c r="L6" s="394"/>
      <c r="M6" s="395"/>
    </row>
    <row r="7" spans="1:13" s="53" customFormat="1" ht="30" customHeight="1">
      <c r="A7" s="382" t="s">
        <v>88</v>
      </c>
      <c r="B7" s="382"/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3"/>
    </row>
    <row r="8" spans="1:13" s="53" customFormat="1" ht="24" customHeight="1">
      <c r="A8" s="396" t="s">
        <v>89</v>
      </c>
      <c r="B8" s="396"/>
      <c r="C8" s="396"/>
      <c r="D8" s="397">
        <f>'项目月度商务管理汇总表-表3'!B7</f>
        <v>0</v>
      </c>
      <c r="E8" s="397"/>
      <c r="F8" s="397"/>
      <c r="G8" s="397"/>
      <c r="H8" s="397"/>
      <c r="I8" s="397"/>
      <c r="J8" s="397"/>
      <c r="K8" s="397"/>
      <c r="L8" s="397"/>
      <c r="M8" s="398"/>
    </row>
    <row r="9" spans="1:13" s="53" customFormat="1" ht="24" customHeight="1">
      <c r="A9" s="396" t="s">
        <v>90</v>
      </c>
      <c r="B9" s="396"/>
      <c r="C9" s="396"/>
      <c r="D9" s="397">
        <f>'项目月度商务管理汇总表-表3'!U7</f>
        <v>0</v>
      </c>
      <c r="E9" s="397"/>
      <c r="F9" s="397"/>
      <c r="G9" s="397"/>
      <c r="H9" s="397"/>
      <c r="I9" s="397"/>
      <c r="J9" s="397"/>
      <c r="K9" s="397"/>
      <c r="L9" s="397"/>
      <c r="M9" s="398"/>
    </row>
    <row r="10" spans="1:13" s="53" customFormat="1" ht="24" customHeight="1">
      <c r="A10" s="396" t="s">
        <v>91</v>
      </c>
      <c r="B10" s="396"/>
      <c r="C10" s="396"/>
      <c r="D10" s="399"/>
      <c r="E10" s="399"/>
      <c r="F10" s="399"/>
      <c r="G10" s="399"/>
      <c r="H10" s="396" t="s">
        <v>92</v>
      </c>
      <c r="I10" s="396"/>
      <c r="J10" s="397">
        <f>'项目月度商务管理汇总表-表3'!L7</f>
        <v>0</v>
      </c>
      <c r="K10" s="397"/>
      <c r="L10" s="397"/>
      <c r="M10" s="398"/>
    </row>
    <row r="11" spans="1:13" s="53" customFormat="1" ht="24" customHeight="1">
      <c r="A11" s="396" t="s">
        <v>93</v>
      </c>
      <c r="B11" s="396"/>
      <c r="C11" s="396"/>
      <c r="D11" s="400"/>
      <c r="E11" s="400"/>
      <c r="F11" s="400"/>
      <c r="G11" s="400"/>
      <c r="H11" s="396" t="s">
        <v>94</v>
      </c>
      <c r="I11" s="396"/>
      <c r="J11" s="400"/>
      <c r="K11" s="400"/>
      <c r="L11" s="400"/>
      <c r="M11" s="401"/>
    </row>
    <row r="12" spans="1:13" s="53" customFormat="1" ht="24" customHeight="1">
      <c r="A12" s="396" t="s">
        <v>95</v>
      </c>
      <c r="B12" s="396"/>
      <c r="C12" s="396"/>
      <c r="D12" s="400"/>
      <c r="E12" s="400"/>
      <c r="F12" s="400"/>
      <c r="G12" s="400"/>
      <c r="H12" s="396" t="s">
        <v>96</v>
      </c>
      <c r="I12" s="396"/>
      <c r="J12" s="400"/>
      <c r="K12" s="400"/>
      <c r="L12" s="400"/>
      <c r="M12" s="401"/>
    </row>
    <row r="13" spans="1:13" s="53" customFormat="1" ht="24" customHeight="1">
      <c r="A13" s="402" t="s">
        <v>97</v>
      </c>
      <c r="B13" s="402"/>
      <c r="C13" s="402"/>
      <c r="D13" s="403">
        <f>'项目月度商务管理汇总表-表3'!T7</f>
        <v>0</v>
      </c>
      <c r="E13" s="403"/>
      <c r="F13" s="403"/>
      <c r="G13" s="403"/>
      <c r="H13" s="396" t="s">
        <v>98</v>
      </c>
      <c r="I13" s="396"/>
      <c r="J13" s="404" t="e">
        <f>D13/J10</f>
        <v>#DIV/0!</v>
      </c>
      <c r="K13" s="404"/>
      <c r="L13" s="404"/>
      <c r="M13" s="405"/>
    </row>
    <row r="14" spans="1:13" s="53" customFormat="1" ht="24" customHeight="1">
      <c r="A14" s="396" t="s">
        <v>99</v>
      </c>
      <c r="B14" s="396"/>
      <c r="C14" s="396"/>
      <c r="D14" s="399"/>
      <c r="E14" s="399"/>
      <c r="F14" s="399"/>
      <c r="G14" s="399"/>
      <c r="H14" s="396" t="s">
        <v>100</v>
      </c>
      <c r="I14" s="396"/>
      <c r="J14" s="399"/>
      <c r="K14" s="399"/>
      <c r="L14" s="399"/>
      <c r="M14" s="406"/>
    </row>
    <row r="15" spans="1:13" s="53" customFormat="1" ht="24" customHeight="1">
      <c r="A15" s="396" t="s">
        <v>101</v>
      </c>
      <c r="B15" s="396"/>
      <c r="C15" s="396"/>
      <c r="D15" s="404"/>
      <c r="E15" s="404"/>
      <c r="F15" s="404"/>
      <c r="G15" s="404"/>
      <c r="H15" s="402" t="s">
        <v>102</v>
      </c>
      <c r="I15" s="402"/>
      <c r="J15" s="404"/>
      <c r="K15" s="404"/>
      <c r="L15" s="404"/>
      <c r="M15" s="405"/>
    </row>
    <row r="16" spans="1:13" s="66" customFormat="1" ht="30" customHeight="1">
      <c r="A16" s="382" t="s">
        <v>103</v>
      </c>
      <c r="B16" s="382"/>
      <c r="C16" s="382"/>
      <c r="D16" s="382"/>
      <c r="E16" s="382"/>
      <c r="F16" s="382"/>
      <c r="G16" s="382"/>
      <c r="H16" s="382"/>
      <c r="I16" s="382"/>
      <c r="J16" s="382"/>
      <c r="K16" s="382"/>
      <c r="L16" s="382"/>
      <c r="M16" s="383"/>
    </row>
    <row r="17" spans="1:13" s="66" customFormat="1" ht="66" customHeight="1">
      <c r="A17" s="407"/>
      <c r="B17" s="407"/>
      <c r="C17" s="407"/>
      <c r="D17" s="407"/>
      <c r="E17" s="407"/>
      <c r="F17" s="407"/>
      <c r="G17" s="407"/>
      <c r="H17" s="407"/>
      <c r="I17" s="407"/>
      <c r="J17" s="407"/>
      <c r="K17" s="407"/>
      <c r="L17" s="407"/>
      <c r="M17" s="407"/>
    </row>
    <row r="18" spans="1:13" s="67" customFormat="1" ht="30" customHeight="1">
      <c r="A18" s="382" t="s">
        <v>104</v>
      </c>
      <c r="B18" s="382"/>
      <c r="C18" s="382"/>
      <c r="D18" s="382"/>
      <c r="E18" s="382"/>
      <c r="F18" s="382"/>
      <c r="G18" s="382"/>
      <c r="H18" s="382"/>
      <c r="I18" s="382"/>
      <c r="J18" s="382"/>
      <c r="K18" s="382"/>
      <c r="L18" s="382"/>
      <c r="M18" s="383"/>
    </row>
    <row r="19" spans="1:13" s="17" customFormat="1" ht="27" customHeight="1">
      <c r="A19" s="118" t="s">
        <v>105</v>
      </c>
      <c r="B19" s="408" t="s">
        <v>106</v>
      </c>
      <c r="C19" s="408"/>
      <c r="D19" s="408" t="s">
        <v>70</v>
      </c>
      <c r="E19" s="408"/>
      <c r="F19" s="408" t="s">
        <v>71</v>
      </c>
      <c r="G19" s="408"/>
      <c r="H19" s="118" t="s">
        <v>72</v>
      </c>
      <c r="I19" s="409" t="s">
        <v>73</v>
      </c>
      <c r="J19" s="409"/>
      <c r="K19" s="409" t="s">
        <v>107</v>
      </c>
      <c r="L19" s="409"/>
      <c r="M19" s="19" t="s">
        <v>108</v>
      </c>
    </row>
    <row r="20" spans="1:13" s="17" customFormat="1" ht="27" hidden="1" customHeight="1">
      <c r="A20" s="118"/>
      <c r="B20" s="118"/>
      <c r="C20" s="118"/>
      <c r="D20" s="118"/>
      <c r="E20" s="118"/>
      <c r="F20" s="118"/>
      <c r="G20" s="118"/>
      <c r="H20" s="118"/>
      <c r="I20" s="102"/>
      <c r="J20" s="102"/>
      <c r="K20" s="102"/>
      <c r="L20" s="102"/>
      <c r="M20" s="19"/>
    </row>
    <row r="21" spans="1:13" s="17" customFormat="1" ht="23.25" customHeight="1">
      <c r="A21" s="411" t="s">
        <v>109</v>
      </c>
      <c r="B21" s="119" t="s">
        <v>110</v>
      </c>
      <c r="C21" s="119"/>
      <c r="D21" s="120">
        <f>'项目月度商务管理汇总表-表3'!AG7</f>
        <v>0</v>
      </c>
      <c r="E21" s="120"/>
      <c r="F21" s="119"/>
      <c r="G21" s="119"/>
      <c r="H21" s="113" t="s">
        <v>74</v>
      </c>
      <c r="I21" s="121"/>
      <c r="J21" s="121"/>
      <c r="K21" s="122"/>
      <c r="L21" s="122"/>
      <c r="M21" s="75"/>
    </row>
    <row r="22" spans="1:13" s="17" customFormat="1" ht="23.25" customHeight="1">
      <c r="A22" s="411"/>
      <c r="B22" s="119" t="s">
        <v>111</v>
      </c>
      <c r="C22" s="119"/>
      <c r="D22" s="123" t="e">
        <f>D21/D15</f>
        <v>#DIV/0!</v>
      </c>
      <c r="E22" s="123"/>
      <c r="F22" s="119" t="s">
        <v>112</v>
      </c>
      <c r="G22" s="119"/>
      <c r="H22" s="113" t="s">
        <v>74</v>
      </c>
      <c r="I22" s="121"/>
      <c r="J22" s="121"/>
      <c r="K22" s="122"/>
      <c r="L22" s="122"/>
      <c r="M22" s="75"/>
    </row>
    <row r="23" spans="1:13" s="17" customFormat="1" ht="23.25" customHeight="1">
      <c r="A23" s="411"/>
      <c r="B23" s="119" t="s">
        <v>113</v>
      </c>
      <c r="C23" s="119"/>
      <c r="D23" s="120">
        <f>'项目月度商务管理汇总表-表3'!AA7</f>
        <v>0</v>
      </c>
      <c r="E23" s="120"/>
      <c r="F23" s="119"/>
      <c r="G23" s="119"/>
      <c r="H23" s="113" t="s">
        <v>74</v>
      </c>
      <c r="I23" s="121"/>
      <c r="J23" s="121"/>
      <c r="K23" s="122"/>
      <c r="L23" s="122"/>
      <c r="M23" s="75"/>
    </row>
    <row r="24" spans="1:13" s="17" customFormat="1" ht="23.25" customHeight="1">
      <c r="A24" s="411"/>
      <c r="B24" s="119" t="s">
        <v>114</v>
      </c>
      <c r="C24" s="119"/>
      <c r="D24" s="123" t="e">
        <f>D23/J15</f>
        <v>#DIV/0!</v>
      </c>
      <c r="E24" s="123"/>
      <c r="F24" s="119" t="s">
        <v>112</v>
      </c>
      <c r="G24" s="119"/>
      <c r="H24" s="113" t="s">
        <v>74</v>
      </c>
      <c r="I24" s="121"/>
      <c r="J24" s="121"/>
      <c r="K24" s="122"/>
      <c r="L24" s="122"/>
      <c r="M24" s="75"/>
    </row>
    <row r="25" spans="1:13" s="17" customFormat="1" ht="30" customHeight="1">
      <c r="A25" s="412" t="s">
        <v>115</v>
      </c>
      <c r="B25" s="111" t="s">
        <v>116</v>
      </c>
      <c r="C25" s="111"/>
      <c r="D25" s="120">
        <f>'项目月度商务管理汇总表-表3'!BB7</f>
        <v>0</v>
      </c>
      <c r="E25" s="120"/>
      <c r="F25" s="124" t="s">
        <v>117</v>
      </c>
      <c r="G25" s="124"/>
      <c r="H25" s="113" t="s">
        <v>74</v>
      </c>
      <c r="I25" s="121"/>
      <c r="J25" s="121"/>
      <c r="K25" s="122"/>
      <c r="L25" s="122"/>
      <c r="M25" s="74"/>
    </row>
    <row r="26" spans="1:13" s="17" customFormat="1" ht="30" customHeight="1">
      <c r="A26" s="412"/>
      <c r="B26" s="111" t="s">
        <v>118</v>
      </c>
      <c r="C26" s="111"/>
      <c r="D26" s="123" t="e">
        <f>'项目月度商务管理汇总表-表3'!BC7</f>
        <v>#DIV/0!</v>
      </c>
      <c r="E26" s="123"/>
      <c r="F26" s="124" t="s">
        <v>119</v>
      </c>
      <c r="G26" s="124"/>
      <c r="H26" s="113" t="s">
        <v>74</v>
      </c>
      <c r="I26" s="121"/>
      <c r="J26" s="121"/>
      <c r="K26" s="122"/>
      <c r="L26" s="122"/>
      <c r="M26" s="74"/>
    </row>
    <row r="27" spans="1:13" s="17" customFormat="1" ht="59.25" customHeight="1">
      <c r="A27" s="412"/>
      <c r="B27" s="111" t="s">
        <v>120</v>
      </c>
      <c r="C27" s="111"/>
      <c r="D27" s="120">
        <f>'项目月度商务管理汇总表-表3'!AE7-'项目月度商务管理汇总表-表3'!AN7-'项目月度商务管理汇总表-表3'!AO7</f>
        <v>0</v>
      </c>
      <c r="E27" s="120"/>
      <c r="F27" s="111" t="s">
        <v>121</v>
      </c>
      <c r="G27" s="111"/>
      <c r="H27" s="113" t="s">
        <v>74</v>
      </c>
      <c r="I27" s="125"/>
      <c r="J27" s="126"/>
      <c r="K27" s="127"/>
      <c r="L27" s="128"/>
      <c r="M27" s="74"/>
    </row>
    <row r="28" spans="1:13" s="17" customFormat="1" ht="51" customHeight="1">
      <c r="A28" s="412"/>
      <c r="B28" s="129" t="s">
        <v>122</v>
      </c>
      <c r="C28" s="129"/>
      <c r="D28" s="123" t="e">
        <f>('项目月度商务管理汇总表-表3'!AE7-'项目月度商务管理汇总表-表3'!AN7-'项目月度商务管理汇总表-表3'!AO7)/'项目月度商务管理汇总表-表3'!AE7</f>
        <v>#DIV/0!</v>
      </c>
      <c r="E28" s="123"/>
      <c r="F28" s="111" t="s">
        <v>123</v>
      </c>
      <c r="G28" s="111"/>
      <c r="H28" s="113" t="s">
        <v>74</v>
      </c>
      <c r="I28" s="125"/>
      <c r="J28" s="126"/>
      <c r="K28" s="127"/>
      <c r="L28" s="128"/>
      <c r="M28" s="74"/>
    </row>
    <row r="29" spans="1:13" s="17" customFormat="1" ht="30" customHeight="1">
      <c r="A29" s="412"/>
      <c r="B29" s="111" t="s">
        <v>124</v>
      </c>
      <c r="C29" s="111"/>
      <c r="D29" s="120">
        <f>'项目月度商务管理汇总表-表3'!BD7</f>
        <v>0</v>
      </c>
      <c r="E29" s="120"/>
      <c r="F29" s="124" t="s">
        <v>125</v>
      </c>
      <c r="G29" s="124"/>
      <c r="H29" s="113" t="s">
        <v>74</v>
      </c>
      <c r="I29" s="121"/>
      <c r="J29" s="121"/>
      <c r="K29" s="122"/>
      <c r="L29" s="122"/>
      <c r="M29" s="74"/>
    </row>
    <row r="30" spans="1:13" s="17" customFormat="1" ht="30" customHeight="1">
      <c r="A30" s="412"/>
      <c r="B30" s="111" t="s">
        <v>126</v>
      </c>
      <c r="C30" s="111"/>
      <c r="D30" s="123" t="e">
        <f>'项目月度商务管理汇总表-表3'!BE7</f>
        <v>#DIV/0!</v>
      </c>
      <c r="E30" s="123"/>
      <c r="F30" s="124" t="s">
        <v>127</v>
      </c>
      <c r="G30" s="124"/>
      <c r="H30" s="113" t="s">
        <v>74</v>
      </c>
      <c r="I30" s="121"/>
      <c r="J30" s="121"/>
      <c r="K30" s="122"/>
      <c r="L30" s="122"/>
      <c r="M30" s="74"/>
    </row>
    <row r="31" spans="1:13" s="17" customFormat="1" ht="30" customHeight="1">
      <c r="A31" s="413" t="s">
        <v>128</v>
      </c>
      <c r="B31" s="111" t="s">
        <v>129</v>
      </c>
      <c r="C31" s="111"/>
      <c r="D31" s="130"/>
      <c r="E31" s="130"/>
      <c r="F31" s="124" t="s">
        <v>130</v>
      </c>
      <c r="G31" s="124"/>
      <c r="H31" s="113" t="s">
        <v>74</v>
      </c>
      <c r="I31" s="121"/>
      <c r="J31" s="121"/>
      <c r="K31" s="122"/>
      <c r="L31" s="122"/>
      <c r="M31" s="74"/>
    </row>
    <row r="32" spans="1:13" s="17" customFormat="1" ht="30" customHeight="1">
      <c r="A32" s="413"/>
      <c r="B32" s="111" t="s">
        <v>131</v>
      </c>
      <c r="C32" s="111"/>
      <c r="D32" s="130"/>
      <c r="E32" s="130"/>
      <c r="F32" s="124" t="s">
        <v>132</v>
      </c>
      <c r="G32" s="124"/>
      <c r="H32" s="113" t="s">
        <v>74</v>
      </c>
      <c r="I32" s="121"/>
      <c r="J32" s="121"/>
      <c r="K32" s="122"/>
      <c r="L32" s="122"/>
      <c r="M32" s="74"/>
    </row>
    <row r="33" spans="1:13" s="17" customFormat="1" ht="27" customHeight="1">
      <c r="A33" s="413"/>
      <c r="B33" s="111" t="s">
        <v>133</v>
      </c>
      <c r="C33" s="111"/>
      <c r="D33" s="130"/>
      <c r="E33" s="130"/>
      <c r="F33" s="124" t="s">
        <v>132</v>
      </c>
      <c r="G33" s="124"/>
      <c r="H33" s="113" t="s">
        <v>74</v>
      </c>
      <c r="I33" s="121"/>
      <c r="J33" s="121"/>
      <c r="K33" s="122"/>
      <c r="L33" s="122"/>
      <c r="M33" s="74"/>
    </row>
    <row r="34" spans="1:13" s="17" customFormat="1" ht="30" customHeight="1">
      <c r="A34" s="413"/>
      <c r="B34" s="111" t="s">
        <v>134</v>
      </c>
      <c r="C34" s="111"/>
      <c r="D34" s="130"/>
      <c r="E34" s="130"/>
      <c r="F34" s="124" t="s">
        <v>130</v>
      </c>
      <c r="G34" s="124"/>
      <c r="H34" s="113" t="s">
        <v>74</v>
      </c>
      <c r="I34" s="121"/>
      <c r="J34" s="121"/>
      <c r="K34" s="122"/>
      <c r="L34" s="122"/>
      <c r="M34" s="74"/>
    </row>
    <row r="35" spans="1:13" s="17" customFormat="1" ht="30" customHeight="1">
      <c r="A35" s="413"/>
      <c r="B35" s="111" t="s">
        <v>135</v>
      </c>
      <c r="C35" s="111"/>
      <c r="D35" s="130"/>
      <c r="E35" s="130"/>
      <c r="F35" s="124" t="s">
        <v>136</v>
      </c>
      <c r="G35" s="124"/>
      <c r="H35" s="113" t="s">
        <v>74</v>
      </c>
      <c r="I35" s="121"/>
      <c r="J35" s="121"/>
      <c r="K35" s="122"/>
      <c r="L35" s="122"/>
      <c r="M35" s="74"/>
    </row>
    <row r="36" spans="1:13" s="17" customFormat="1" ht="30" customHeight="1">
      <c r="A36" s="413"/>
      <c r="B36" s="111" t="s">
        <v>137</v>
      </c>
      <c r="C36" s="111"/>
      <c r="D36" s="130"/>
      <c r="E36" s="130"/>
      <c r="F36" s="124" t="s">
        <v>138</v>
      </c>
      <c r="G36" s="124"/>
      <c r="H36" s="113" t="s">
        <v>74</v>
      </c>
      <c r="I36" s="121"/>
      <c r="J36" s="121"/>
      <c r="K36" s="122"/>
      <c r="L36" s="122"/>
      <c r="M36" s="74"/>
    </row>
    <row r="37" spans="1:13" s="50" customFormat="1" ht="30" customHeight="1">
      <c r="A37" s="382" t="s">
        <v>139</v>
      </c>
      <c r="B37" s="382"/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3"/>
    </row>
    <row r="38" spans="1:13" s="17" customFormat="1" ht="18" customHeight="1">
      <c r="A38" s="408" t="s">
        <v>105</v>
      </c>
      <c r="B38" s="408" t="s">
        <v>140</v>
      </c>
      <c r="C38" s="408" t="s">
        <v>141</v>
      </c>
      <c r="D38" s="408"/>
      <c r="E38" s="408" t="s">
        <v>142</v>
      </c>
      <c r="F38" s="408"/>
      <c r="G38" s="408" t="s">
        <v>143</v>
      </c>
      <c r="H38" s="408"/>
      <c r="I38" s="408"/>
      <c r="J38" s="408"/>
      <c r="K38" s="408" t="s">
        <v>72</v>
      </c>
      <c r="L38" s="409" t="s">
        <v>144</v>
      </c>
      <c r="M38" s="414" t="s">
        <v>108</v>
      </c>
    </row>
    <row r="39" spans="1:13" s="17" customFormat="1" ht="23.25" customHeight="1">
      <c r="A39" s="408"/>
      <c r="B39" s="408"/>
      <c r="C39" s="61" t="s">
        <v>145</v>
      </c>
      <c r="D39" s="61" t="s">
        <v>146</v>
      </c>
      <c r="E39" s="61" t="s">
        <v>145</v>
      </c>
      <c r="F39" s="61" t="s">
        <v>146</v>
      </c>
      <c r="G39" s="61" t="s">
        <v>145</v>
      </c>
      <c r="H39" s="61" t="s">
        <v>146</v>
      </c>
      <c r="I39" s="61" t="s">
        <v>147</v>
      </c>
      <c r="J39" s="61" t="s">
        <v>146</v>
      </c>
      <c r="K39" s="408"/>
      <c r="L39" s="409"/>
      <c r="M39" s="414"/>
    </row>
    <row r="40" spans="1:13" s="17" customFormat="1" ht="23.25" hidden="1" customHeight="1">
      <c r="A40" s="118"/>
      <c r="B40" s="118"/>
      <c r="C40" s="61"/>
      <c r="D40" s="61"/>
      <c r="E40" s="61"/>
      <c r="F40" s="61"/>
      <c r="G40" s="61"/>
      <c r="H40" s="61"/>
      <c r="I40" s="61"/>
      <c r="J40" s="61"/>
      <c r="K40" s="118"/>
      <c r="L40" s="102"/>
      <c r="M40" s="19"/>
    </row>
    <row r="41" spans="1:13" s="17" customFormat="1" ht="39" customHeight="1">
      <c r="A41" s="131" t="s">
        <v>148</v>
      </c>
      <c r="B41" s="132" t="s">
        <v>149</v>
      </c>
      <c r="C41" s="133"/>
      <c r="D41" s="134" t="e">
        <f t="shared" ref="D41:D46" si="0">C41/$J$10</f>
        <v>#DIV/0!</v>
      </c>
      <c r="E41" s="133"/>
      <c r="F41" s="134" t="e">
        <f t="shared" ref="F41:F46" si="1">E41/$J$10</f>
        <v>#DIV/0!</v>
      </c>
      <c r="G41" s="133"/>
      <c r="H41" s="134" t="e">
        <f t="shared" ref="H41:H46" si="2">G41/$J$10</f>
        <v>#DIV/0!</v>
      </c>
      <c r="I41" s="133"/>
      <c r="J41" s="134" t="e">
        <f t="shared" ref="J41:J46" si="3">I41/$J$10</f>
        <v>#DIV/0!</v>
      </c>
      <c r="K41" s="113" t="s">
        <v>74</v>
      </c>
      <c r="L41" s="135" t="s">
        <v>150</v>
      </c>
      <c r="M41" s="76"/>
    </row>
    <row r="42" spans="1:13" s="17" customFormat="1" ht="39" customHeight="1">
      <c r="A42" s="131" t="s">
        <v>151</v>
      </c>
      <c r="B42" s="132" t="s">
        <v>152</v>
      </c>
      <c r="C42" s="133"/>
      <c r="D42" s="134" t="e">
        <f t="shared" si="0"/>
        <v>#DIV/0!</v>
      </c>
      <c r="E42" s="133"/>
      <c r="F42" s="134" t="e">
        <f t="shared" si="1"/>
        <v>#DIV/0!</v>
      </c>
      <c r="G42" s="133"/>
      <c r="H42" s="134" t="e">
        <f t="shared" si="2"/>
        <v>#DIV/0!</v>
      </c>
      <c r="I42" s="133"/>
      <c r="J42" s="134" t="e">
        <f t="shared" si="3"/>
        <v>#DIV/0!</v>
      </c>
      <c r="K42" s="113" t="s">
        <v>74</v>
      </c>
      <c r="L42" s="135" t="s">
        <v>150</v>
      </c>
      <c r="M42" s="76"/>
    </row>
    <row r="43" spans="1:13" s="17" customFormat="1" ht="39" customHeight="1">
      <c r="A43" s="131" t="s">
        <v>153</v>
      </c>
      <c r="B43" s="132"/>
      <c r="C43" s="133"/>
      <c r="D43" s="134" t="e">
        <f t="shared" si="0"/>
        <v>#DIV/0!</v>
      </c>
      <c r="E43" s="133"/>
      <c r="F43" s="134" t="e">
        <f t="shared" si="1"/>
        <v>#DIV/0!</v>
      </c>
      <c r="G43" s="133"/>
      <c r="H43" s="134" t="e">
        <f t="shared" si="2"/>
        <v>#DIV/0!</v>
      </c>
      <c r="I43" s="133"/>
      <c r="J43" s="134" t="e">
        <f t="shared" si="3"/>
        <v>#DIV/0!</v>
      </c>
      <c r="K43" s="113" t="s">
        <v>74</v>
      </c>
      <c r="L43" s="135" t="s">
        <v>150</v>
      </c>
      <c r="M43" s="73"/>
    </row>
    <row r="44" spans="1:13" s="17" customFormat="1" ht="39" customHeight="1">
      <c r="A44" s="131" t="s">
        <v>154</v>
      </c>
      <c r="B44" s="136" t="s">
        <v>155</v>
      </c>
      <c r="C44" s="137"/>
      <c r="D44" s="134" t="e">
        <f t="shared" si="0"/>
        <v>#DIV/0!</v>
      </c>
      <c r="E44" s="137"/>
      <c r="F44" s="134" t="e">
        <f t="shared" si="1"/>
        <v>#DIV/0!</v>
      </c>
      <c r="G44" s="137"/>
      <c r="H44" s="134" t="e">
        <f t="shared" si="2"/>
        <v>#DIV/0!</v>
      </c>
      <c r="I44" s="137"/>
      <c r="J44" s="134" t="e">
        <f t="shared" si="3"/>
        <v>#DIV/0!</v>
      </c>
      <c r="K44" s="113" t="s">
        <v>74</v>
      </c>
      <c r="L44" s="135" t="s">
        <v>150</v>
      </c>
      <c r="M44" s="77"/>
    </row>
    <row r="45" spans="1:13" s="17" customFormat="1" ht="39" customHeight="1">
      <c r="A45" s="131" t="s">
        <v>156</v>
      </c>
      <c r="B45" s="138"/>
      <c r="C45" s="139"/>
      <c r="D45" s="134" t="e">
        <f t="shared" si="0"/>
        <v>#DIV/0!</v>
      </c>
      <c r="E45" s="139"/>
      <c r="F45" s="134" t="e">
        <f t="shared" si="1"/>
        <v>#DIV/0!</v>
      </c>
      <c r="G45" s="139"/>
      <c r="H45" s="134" t="e">
        <f t="shared" si="2"/>
        <v>#DIV/0!</v>
      </c>
      <c r="I45" s="139"/>
      <c r="J45" s="134" t="e">
        <f t="shared" si="3"/>
        <v>#DIV/0!</v>
      </c>
      <c r="K45" s="113" t="s">
        <v>74</v>
      </c>
      <c r="L45" s="135" t="s">
        <v>150</v>
      </c>
      <c r="M45" s="77"/>
    </row>
    <row r="46" spans="1:13" s="17" customFormat="1" ht="39" customHeight="1">
      <c r="A46" s="131" t="s">
        <v>157</v>
      </c>
      <c r="B46" s="138"/>
      <c r="C46" s="139"/>
      <c r="D46" s="134" t="e">
        <f t="shared" si="0"/>
        <v>#DIV/0!</v>
      </c>
      <c r="E46" s="139"/>
      <c r="F46" s="134" t="e">
        <f t="shared" si="1"/>
        <v>#DIV/0!</v>
      </c>
      <c r="G46" s="139"/>
      <c r="H46" s="134" t="e">
        <f t="shared" si="2"/>
        <v>#DIV/0!</v>
      </c>
      <c r="I46" s="139"/>
      <c r="J46" s="134" t="e">
        <f t="shared" si="3"/>
        <v>#DIV/0!</v>
      </c>
      <c r="K46" s="113" t="s">
        <v>74</v>
      </c>
      <c r="L46" s="135" t="s">
        <v>150</v>
      </c>
      <c r="M46" s="77"/>
    </row>
    <row r="47" spans="1:13" s="68" customFormat="1" ht="63" customHeight="1">
      <c r="A47" s="410" t="s">
        <v>158</v>
      </c>
      <c r="B47" s="410"/>
      <c r="C47" s="410"/>
      <c r="D47" s="410"/>
      <c r="E47" s="410"/>
      <c r="F47" s="410"/>
      <c r="G47" s="410"/>
      <c r="H47" s="410"/>
      <c r="I47" s="410"/>
      <c r="J47" s="410"/>
      <c r="K47" s="410"/>
      <c r="L47" s="410"/>
      <c r="M47" s="410"/>
    </row>
  </sheetData>
  <mergeCells count="66">
    <mergeCell ref="A21:A24"/>
    <mergeCell ref="A25:A30"/>
    <mergeCell ref="A31:A36"/>
    <mergeCell ref="A38:A39"/>
    <mergeCell ref="B38:B39"/>
    <mergeCell ref="A37:M37"/>
    <mergeCell ref="C38:D38"/>
    <mergeCell ref="E38:F38"/>
    <mergeCell ref="G38:J38"/>
    <mergeCell ref="A47:M47"/>
    <mergeCell ref="K38:K39"/>
    <mergeCell ref="L38:L39"/>
    <mergeCell ref="M38:M39"/>
    <mergeCell ref="A17:M17"/>
    <mergeCell ref="A18:M18"/>
    <mergeCell ref="B19:C19"/>
    <mergeCell ref="D19:E19"/>
    <mergeCell ref="F19:G19"/>
    <mergeCell ref="I19:J19"/>
    <mergeCell ref="K19:L19"/>
    <mergeCell ref="A15:C15"/>
    <mergeCell ref="D15:G15"/>
    <mergeCell ref="H15:I15"/>
    <mergeCell ref="J15:M15"/>
    <mergeCell ref="A16:M16"/>
    <mergeCell ref="A13:C13"/>
    <mergeCell ref="D13:G13"/>
    <mergeCell ref="H13:I13"/>
    <mergeCell ref="J13:M13"/>
    <mergeCell ref="A14:C14"/>
    <mergeCell ref="D14:G14"/>
    <mergeCell ref="H14:I14"/>
    <mergeCell ref="J14:M14"/>
    <mergeCell ref="A11:C11"/>
    <mergeCell ref="D11:G11"/>
    <mergeCell ref="H11:I11"/>
    <mergeCell ref="J11:M11"/>
    <mergeCell ref="A12:C12"/>
    <mergeCell ref="D12:G12"/>
    <mergeCell ref="H12:I12"/>
    <mergeCell ref="J12:M12"/>
    <mergeCell ref="A9:C9"/>
    <mergeCell ref="D9:M9"/>
    <mergeCell ref="A10:C10"/>
    <mergeCell ref="D10:G10"/>
    <mergeCell ref="H10:I10"/>
    <mergeCell ref="J10:M10"/>
    <mergeCell ref="A6:C6"/>
    <mergeCell ref="E6:M6"/>
    <mergeCell ref="A7:M7"/>
    <mergeCell ref="A8:C8"/>
    <mergeCell ref="D8:M8"/>
    <mergeCell ref="B5:C5"/>
    <mergeCell ref="E5:F5"/>
    <mergeCell ref="H5:I5"/>
    <mergeCell ref="J5:K5"/>
    <mergeCell ref="L5:M5"/>
    <mergeCell ref="A1:M1"/>
    <mergeCell ref="A3:M3"/>
    <mergeCell ref="B4:C4"/>
    <mergeCell ref="E4:F4"/>
    <mergeCell ref="H4:I4"/>
    <mergeCell ref="J4:K4"/>
    <mergeCell ref="L4:M4"/>
    <mergeCell ref="B2:F2"/>
    <mergeCell ref="H2:I2"/>
  </mergeCells>
  <phoneticPr fontId="61" type="noConversion"/>
  <conditionalFormatting sqref="D6">
    <cfRule type="cellIs" dxfId="10" priority="1" operator="equal">
      <formula>"黄"</formula>
    </cfRule>
    <cfRule type="cellIs" dxfId="9" priority="2" operator="equal">
      <formula>"绿"</formula>
    </cfRule>
    <cfRule type="cellIs" dxfId="8" priority="3" operator="equal">
      <formula>"红"</formula>
    </cfRule>
  </conditionalFormatting>
  <conditionalFormatting sqref="H21:H36">
    <cfRule type="cellIs" dxfId="7" priority="9" operator="equal">
      <formula>"黄"</formula>
    </cfRule>
    <cfRule type="cellIs" dxfId="6" priority="10" operator="equal">
      <formula>"绿"</formula>
    </cfRule>
    <cfRule type="cellIs" dxfId="5" priority="11" operator="equal">
      <formula>"红"</formula>
    </cfRule>
  </conditionalFormatting>
  <conditionalFormatting sqref="K41:K46">
    <cfRule type="cellIs" dxfId="4" priority="12" operator="equal">
      <formula>"黄"</formula>
    </cfRule>
    <cfRule type="cellIs" dxfId="3" priority="13" operator="equal">
      <formula>"绿"</formula>
    </cfRule>
    <cfRule type="cellIs" dxfId="2" priority="14" operator="equal">
      <formula>"红"</formula>
    </cfRule>
  </conditionalFormatting>
  <conditionalFormatting sqref="L4:M4">
    <cfRule type="cellIs" dxfId="1" priority="4" operator="greaterThan">
      <formula>0</formula>
    </cfRule>
    <cfRule type="cellIs" dxfId="0" priority="5" operator="greaterThan">
      <formula>0</formula>
    </cfRule>
  </conditionalFormatting>
  <dataValidations count="1">
    <dataValidation type="decimal" allowBlank="1" showInputMessage="1" showErrorMessage="1" sqref="C41:C46 E41:E46 G41:G46 I41:I46" xr:uid="{00000000-0002-0000-0500-000000000000}">
      <formula1>-100000000000</formula1>
      <formula2>100000000000</formula2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A673-12EE-CD33-193A-713AE2CDEE08}">
  <dimension ref="A1:DS7"/>
  <sheetViews>
    <sheetView showGridLines="0" workbookViewId="0">
      <selection activeCell="CT7" sqref="CT7"/>
    </sheetView>
  </sheetViews>
  <sheetFormatPr defaultColWidth="9" defaultRowHeight="14" customHeight="1" outlineLevelCol="1"/>
  <cols>
    <col min="1" max="1" width="10.703125" customWidth="1"/>
    <col min="2" max="2" width="26.5859375" customWidth="1"/>
    <col min="3" max="3" width="10.52734375" customWidth="1"/>
    <col min="4" max="4" width="18.41015625" style="18" customWidth="1" outlineLevel="1"/>
    <col min="5" max="6" width="17.52734375" customWidth="1" outlineLevel="1"/>
    <col min="7" max="8" width="18.41015625" style="18" customWidth="1" outlineLevel="1"/>
    <col min="9" max="9" width="16.29296875" style="18" customWidth="1" outlineLevel="1"/>
    <col min="10" max="10" width="10.05859375" customWidth="1" outlineLevel="1"/>
    <col min="11" max="11" width="14.8203125" style="18" customWidth="1" outlineLevel="1"/>
    <col min="12" max="12" width="18.41015625" style="18" customWidth="1" outlineLevel="1"/>
    <col min="13" max="16" width="11.41015625" style="18" customWidth="1" outlineLevel="1"/>
    <col min="17" max="17" width="18.41015625" style="18" customWidth="1" outlineLevel="1"/>
    <col min="18" max="18" width="28.5859375" style="18" customWidth="1" outlineLevel="1"/>
    <col min="19" max="20" width="13.41015625" style="18" customWidth="1" outlineLevel="1"/>
    <col min="21" max="21" width="18.41015625" style="18" customWidth="1" outlineLevel="1"/>
    <col min="22" max="28" width="14.8203125" customWidth="1"/>
    <col min="29" max="29" width="14.8203125" style="59" customWidth="1"/>
    <col min="30" max="32" width="14.8203125" style="60" customWidth="1"/>
    <col min="33" max="33" width="14.8203125" customWidth="1"/>
    <col min="34" max="38" width="14.8203125" style="60" customWidth="1"/>
    <col min="39" max="39" width="16.05859375" customWidth="1"/>
    <col min="40" max="42" width="14.8203125" style="60" customWidth="1"/>
    <col min="43" max="43" width="16.64453125" customWidth="1"/>
    <col min="44" max="49" width="14.8203125" style="60" customWidth="1"/>
    <col min="50" max="52" width="14.234375" customWidth="1"/>
    <col min="53" max="53" width="16.05859375" customWidth="1"/>
    <col min="54" max="65" width="14.8203125" style="60" customWidth="1"/>
    <col min="66" max="68" width="14.8203125" style="60" customWidth="1" outlineLevel="1"/>
    <col min="69" max="69" width="14.8203125" customWidth="1" outlineLevel="1"/>
    <col min="70" max="70" width="14.8203125" style="60" customWidth="1" outlineLevel="1"/>
    <col min="71" max="86" width="14.8203125" customWidth="1" outlineLevel="1"/>
    <col min="87" max="87" width="14.8203125" customWidth="1"/>
    <col min="88" max="107" width="14.8203125" customWidth="1" outlineLevel="1"/>
    <col min="108" max="108" width="14.8203125" style="18" customWidth="1" outlineLevel="1"/>
    <col min="109" max="109" width="14.8203125" customWidth="1" outlineLevel="1"/>
    <col min="110" max="122" width="14.8203125" customWidth="1"/>
    <col min="123" max="123" width="20" customWidth="1"/>
  </cols>
  <sheetData>
    <row r="1" spans="1:123" ht="54" customHeight="1">
      <c r="A1" s="334" t="s">
        <v>159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4"/>
      <c r="AR1" s="334"/>
      <c r="AS1" s="334"/>
      <c r="AT1" s="334"/>
      <c r="AU1" s="334"/>
      <c r="AV1" s="334"/>
      <c r="AW1" s="334"/>
      <c r="AX1" s="334"/>
      <c r="AY1" s="334"/>
      <c r="AZ1" s="334"/>
      <c r="BA1" s="334"/>
      <c r="BB1" s="334"/>
      <c r="BC1" s="334"/>
      <c r="BD1" s="334"/>
      <c r="BE1" s="334"/>
      <c r="BF1" s="334"/>
      <c r="BG1" s="334"/>
      <c r="BH1" s="334"/>
      <c r="BI1" s="334"/>
      <c r="BJ1" s="334"/>
      <c r="BK1" s="334"/>
      <c r="BL1" s="334"/>
      <c r="BM1" s="334"/>
      <c r="BN1" s="334"/>
      <c r="BO1" s="334"/>
      <c r="BP1" s="334"/>
      <c r="BQ1" s="334"/>
      <c r="BR1" s="334"/>
      <c r="BS1" s="334"/>
      <c r="BT1" s="334"/>
      <c r="BU1" s="334"/>
      <c r="BV1" s="334"/>
      <c r="BW1" s="334"/>
      <c r="BX1" s="334"/>
      <c r="BY1" s="334"/>
      <c r="BZ1" s="334"/>
      <c r="CA1" s="334"/>
      <c r="CB1" s="334"/>
      <c r="CC1" s="334"/>
      <c r="CD1" s="334"/>
      <c r="CE1" s="334"/>
      <c r="CF1" s="334"/>
      <c r="CG1" s="334"/>
      <c r="CH1" s="334"/>
      <c r="CI1" s="334"/>
      <c r="CJ1" s="334"/>
      <c r="CK1" s="334"/>
      <c r="CL1" s="334"/>
      <c r="CM1" s="334"/>
      <c r="CN1" s="334"/>
      <c r="CO1" s="334"/>
      <c r="CP1" s="334"/>
      <c r="CQ1" s="334"/>
      <c r="CR1" s="334"/>
      <c r="CS1" s="334"/>
      <c r="CT1" s="334"/>
      <c r="CU1" s="334"/>
      <c r="CV1" s="334"/>
      <c r="CW1" s="334"/>
      <c r="CX1" s="334"/>
      <c r="CY1" s="334"/>
      <c r="CZ1" s="334"/>
      <c r="DA1" s="334"/>
      <c r="DB1" s="334"/>
      <c r="DC1" s="334"/>
      <c r="DD1" s="334"/>
      <c r="DE1" s="334"/>
      <c r="DF1" s="334"/>
      <c r="DG1" s="334"/>
      <c r="DH1" s="334"/>
      <c r="DI1" s="334"/>
      <c r="DJ1" s="334"/>
      <c r="DK1" s="334"/>
      <c r="DL1" s="334"/>
      <c r="DM1" s="334"/>
      <c r="DN1" s="334"/>
      <c r="DO1" s="334"/>
      <c r="DP1" s="334"/>
      <c r="DQ1" s="334"/>
      <c r="DR1" s="334"/>
      <c r="DS1" s="337"/>
    </row>
    <row r="2" spans="1:123" ht="23.25" customHeight="1">
      <c r="A2" s="140" t="s">
        <v>35</v>
      </c>
      <c r="B2" s="433"/>
      <c r="C2" s="433"/>
      <c r="D2" s="433"/>
      <c r="E2" s="87"/>
      <c r="F2" s="87"/>
      <c r="G2" s="141"/>
      <c r="H2" s="142" t="s">
        <v>36</v>
      </c>
      <c r="I2" s="141"/>
      <c r="J2" s="87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94"/>
      <c r="X2" s="94"/>
      <c r="Y2" s="94"/>
      <c r="Z2" s="94"/>
      <c r="AA2" s="94"/>
      <c r="AB2" s="94"/>
      <c r="AC2" s="143"/>
      <c r="AD2" s="94"/>
      <c r="AE2" s="94"/>
      <c r="AF2" s="94"/>
      <c r="AG2" s="94"/>
      <c r="AH2" s="94"/>
      <c r="AI2" s="94"/>
      <c r="AJ2" s="94"/>
      <c r="AK2" s="94"/>
      <c r="AL2" s="94"/>
      <c r="AM2" s="87"/>
      <c r="AN2" s="94"/>
      <c r="AO2" s="94"/>
      <c r="AP2" s="94"/>
      <c r="AQ2" s="87"/>
      <c r="AR2" s="94"/>
      <c r="AS2" s="94"/>
      <c r="AT2" s="94"/>
      <c r="AU2" s="94"/>
      <c r="AV2" s="94"/>
      <c r="AW2" s="94"/>
      <c r="AX2" s="87"/>
      <c r="AY2" s="87"/>
      <c r="AZ2" s="87"/>
      <c r="BA2" s="87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144" t="s">
        <v>37</v>
      </c>
    </row>
    <row r="3" spans="1:123" s="55" customFormat="1" ht="39.75" customHeight="1">
      <c r="A3" s="423" t="s">
        <v>160</v>
      </c>
      <c r="B3" s="423" t="s">
        <v>38</v>
      </c>
      <c r="C3" s="436" t="s">
        <v>161</v>
      </c>
      <c r="D3" s="437"/>
      <c r="E3" s="436"/>
      <c r="F3" s="436"/>
      <c r="G3" s="437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16" t="s">
        <v>162</v>
      </c>
      <c r="W3" s="416"/>
      <c r="X3" s="416"/>
      <c r="Y3" s="416"/>
      <c r="Z3" s="416"/>
      <c r="AA3" s="416"/>
      <c r="AB3" s="416"/>
      <c r="AC3" s="416"/>
      <c r="AD3" s="416"/>
      <c r="AE3" s="416"/>
      <c r="AF3" s="416"/>
      <c r="AG3" s="416"/>
      <c r="AH3" s="429" t="s">
        <v>163</v>
      </c>
      <c r="AI3" s="430"/>
      <c r="AJ3" s="430"/>
      <c r="AK3" s="430"/>
      <c r="AL3" s="430"/>
      <c r="AM3" s="431"/>
      <c r="AN3" s="416" t="s">
        <v>164</v>
      </c>
      <c r="AO3" s="416"/>
      <c r="AP3" s="416"/>
      <c r="AQ3" s="416"/>
      <c r="AR3" s="416"/>
      <c r="AS3" s="416"/>
      <c r="AT3" s="416"/>
      <c r="AU3" s="426" t="s">
        <v>165</v>
      </c>
      <c r="AV3" s="427"/>
      <c r="AW3" s="427"/>
      <c r="AX3" s="426"/>
      <c r="AY3" s="426"/>
      <c r="AZ3" s="426"/>
      <c r="BA3" s="428"/>
      <c r="BB3" s="417" t="s">
        <v>166</v>
      </c>
      <c r="BC3" s="417"/>
      <c r="BD3" s="417"/>
      <c r="BE3" s="417"/>
      <c r="BF3" s="417" t="s">
        <v>167</v>
      </c>
      <c r="BG3" s="417"/>
      <c r="BH3" s="417"/>
      <c r="BI3" s="417"/>
      <c r="BJ3" s="417"/>
      <c r="BK3" s="417"/>
      <c r="BL3" s="417"/>
      <c r="BM3" s="418" t="s">
        <v>168</v>
      </c>
      <c r="BN3" s="418"/>
      <c r="BO3" s="418"/>
      <c r="BP3" s="418"/>
      <c r="BQ3" s="418"/>
      <c r="BR3" s="418"/>
      <c r="BS3" s="418"/>
      <c r="BT3" s="418"/>
      <c r="BU3" s="418"/>
      <c r="BV3" s="418"/>
      <c r="BW3" s="418"/>
      <c r="BX3" s="418"/>
      <c r="BY3" s="418"/>
      <c r="BZ3" s="418"/>
      <c r="CA3" s="418"/>
      <c r="CB3" s="418"/>
      <c r="CC3" s="418"/>
      <c r="CD3" s="418"/>
      <c r="CE3" s="418"/>
      <c r="CF3" s="418"/>
      <c r="CG3" s="418"/>
      <c r="CH3" s="418"/>
      <c r="CI3" s="419" t="s">
        <v>169</v>
      </c>
      <c r="CJ3" s="419"/>
      <c r="CK3" s="419"/>
      <c r="CL3" s="419"/>
      <c r="CM3" s="419"/>
      <c r="CN3" s="419"/>
      <c r="CO3" s="419"/>
      <c r="CP3" s="419"/>
      <c r="CQ3" s="419"/>
      <c r="CR3" s="419"/>
      <c r="CS3" s="419"/>
      <c r="CT3" s="419"/>
      <c r="CU3" s="419"/>
      <c r="CV3" s="419"/>
      <c r="CW3" s="419"/>
      <c r="CX3" s="419"/>
      <c r="CY3" s="419"/>
      <c r="CZ3" s="419"/>
      <c r="DA3" s="419"/>
      <c r="DB3" s="419"/>
      <c r="DC3" s="419"/>
      <c r="DD3" s="419"/>
      <c r="DE3" s="419"/>
      <c r="DF3" s="419" t="s">
        <v>170</v>
      </c>
      <c r="DG3" s="419"/>
      <c r="DH3" s="419" t="s">
        <v>171</v>
      </c>
      <c r="DI3" s="419"/>
      <c r="DJ3" s="419"/>
      <c r="DK3" s="419"/>
      <c r="DL3" s="419"/>
      <c r="DM3" s="419"/>
      <c r="DN3" s="419"/>
      <c r="DO3" s="419"/>
      <c r="DP3" s="419"/>
      <c r="DQ3" s="419" t="s">
        <v>172</v>
      </c>
      <c r="DR3" s="419"/>
      <c r="DS3" s="424" t="s">
        <v>173</v>
      </c>
    </row>
    <row r="4" spans="1:123" s="56" customFormat="1" ht="39.75" customHeight="1">
      <c r="A4" s="408"/>
      <c r="B4" s="408"/>
      <c r="C4" s="434" t="s">
        <v>174</v>
      </c>
      <c r="D4" s="420" t="s">
        <v>175</v>
      </c>
      <c r="E4" s="438" t="s">
        <v>176</v>
      </c>
      <c r="F4" s="438" t="s">
        <v>177</v>
      </c>
      <c r="G4" s="420" t="s">
        <v>178</v>
      </c>
      <c r="H4" s="420" t="s">
        <v>179</v>
      </c>
      <c r="I4" s="420" t="s">
        <v>180</v>
      </c>
      <c r="J4" s="434" t="s">
        <v>181</v>
      </c>
      <c r="K4" s="420" t="s">
        <v>182</v>
      </c>
      <c r="L4" s="420" t="s">
        <v>183</v>
      </c>
      <c r="M4" s="420" t="s">
        <v>184</v>
      </c>
      <c r="N4" s="420" t="s">
        <v>185</v>
      </c>
      <c r="O4" s="420" t="s">
        <v>186</v>
      </c>
      <c r="P4" s="420" t="s">
        <v>187</v>
      </c>
      <c r="Q4" s="420" t="s">
        <v>188</v>
      </c>
      <c r="R4" s="420" t="s">
        <v>189</v>
      </c>
      <c r="S4" s="420" t="s">
        <v>190</v>
      </c>
      <c r="T4" s="420" t="s">
        <v>191</v>
      </c>
      <c r="U4" s="420" t="s">
        <v>192</v>
      </c>
      <c r="V4" s="346" t="s">
        <v>193</v>
      </c>
      <c r="W4" s="346"/>
      <c r="X4" s="346"/>
      <c r="Y4" s="346" t="s">
        <v>194</v>
      </c>
      <c r="Z4" s="346"/>
      <c r="AA4" s="346"/>
      <c r="AB4" s="346" t="s">
        <v>195</v>
      </c>
      <c r="AC4" s="346"/>
      <c r="AD4" s="346"/>
      <c r="AE4" s="346" t="s">
        <v>196</v>
      </c>
      <c r="AF4" s="346"/>
      <c r="AG4" s="346"/>
      <c r="AH4" s="346" t="s">
        <v>197</v>
      </c>
      <c r="AI4" s="346"/>
      <c r="AJ4" s="346" t="s">
        <v>198</v>
      </c>
      <c r="AK4" s="346"/>
      <c r="AL4" s="346" t="s">
        <v>52</v>
      </c>
      <c r="AM4" s="432" t="s">
        <v>199</v>
      </c>
      <c r="AN4" s="346" t="s">
        <v>200</v>
      </c>
      <c r="AO4" s="346"/>
      <c r="AP4" s="346"/>
      <c r="AQ4" s="439"/>
      <c r="AR4" s="346" t="s">
        <v>201</v>
      </c>
      <c r="AS4" s="346"/>
      <c r="AT4" s="346"/>
      <c r="AU4" s="440" t="s">
        <v>202</v>
      </c>
      <c r="AV4" s="440" t="s">
        <v>203</v>
      </c>
      <c r="AW4" s="441" t="s">
        <v>53</v>
      </c>
      <c r="AX4" s="435"/>
      <c r="AY4" s="442" t="s">
        <v>204</v>
      </c>
      <c r="AZ4" s="443"/>
      <c r="BA4" s="444" t="s">
        <v>205</v>
      </c>
      <c r="BB4" s="420" t="s">
        <v>206</v>
      </c>
      <c r="BC4" s="420"/>
      <c r="BD4" s="420" t="s">
        <v>207</v>
      </c>
      <c r="BE4" s="420"/>
      <c r="BF4" s="147" t="s">
        <v>208</v>
      </c>
      <c r="BG4" s="147" t="s">
        <v>209</v>
      </c>
      <c r="BH4" s="147" t="s">
        <v>210</v>
      </c>
      <c r="BI4" s="147" t="s">
        <v>211</v>
      </c>
      <c r="BJ4" s="147" t="s">
        <v>212</v>
      </c>
      <c r="BK4" s="147" t="s">
        <v>213</v>
      </c>
      <c r="BL4" s="147" t="s">
        <v>214</v>
      </c>
      <c r="BM4" s="420" t="s">
        <v>215</v>
      </c>
      <c r="BN4" s="408" t="s">
        <v>163</v>
      </c>
      <c r="BO4" s="408"/>
      <c r="BP4" s="408"/>
      <c r="BQ4" s="408"/>
      <c r="BR4" s="408"/>
      <c r="BS4" s="408"/>
      <c r="BT4" s="408"/>
      <c r="BU4" s="408"/>
      <c r="BV4" s="408"/>
      <c r="BW4" s="408"/>
      <c r="BX4" s="408" t="s">
        <v>216</v>
      </c>
      <c r="BY4" s="408"/>
      <c r="BZ4" s="408"/>
      <c r="CA4" s="408"/>
      <c r="CB4" s="408"/>
      <c r="CC4" s="408"/>
      <c r="CD4" s="408" t="s">
        <v>217</v>
      </c>
      <c r="CE4" s="408"/>
      <c r="CF4" s="408"/>
      <c r="CG4" s="408"/>
      <c r="CH4" s="118" t="s">
        <v>218</v>
      </c>
      <c r="CI4" s="346" t="s">
        <v>219</v>
      </c>
      <c r="CJ4" s="421" t="s">
        <v>220</v>
      </c>
      <c r="CK4" s="421"/>
      <c r="CL4" s="421"/>
      <c r="CM4" s="421"/>
      <c r="CN4" s="421"/>
      <c r="CO4" s="421"/>
      <c r="CP4" s="421"/>
      <c r="CQ4" s="421"/>
      <c r="CR4" s="421"/>
      <c r="CS4" s="421"/>
      <c r="CT4" s="421"/>
      <c r="CU4" s="421"/>
      <c r="CV4" s="421" t="s">
        <v>221</v>
      </c>
      <c r="CW4" s="421"/>
      <c r="CX4" s="421"/>
      <c r="CY4" s="421"/>
      <c r="CZ4" s="421"/>
      <c r="DA4" s="421" t="s">
        <v>222</v>
      </c>
      <c r="DB4" s="420"/>
      <c r="DC4" s="420"/>
      <c r="DD4" s="420"/>
      <c r="DE4" s="61" t="s">
        <v>223</v>
      </c>
      <c r="DF4" s="147" t="s">
        <v>224</v>
      </c>
      <c r="DG4" s="61" t="s">
        <v>225</v>
      </c>
      <c r="DH4" s="346" t="s">
        <v>54</v>
      </c>
      <c r="DI4" s="346"/>
      <c r="DJ4" s="346"/>
      <c r="DK4" s="346" t="s">
        <v>55</v>
      </c>
      <c r="DL4" s="346"/>
      <c r="DM4" s="346"/>
      <c r="DN4" s="346" t="s">
        <v>56</v>
      </c>
      <c r="DO4" s="346"/>
      <c r="DP4" s="346"/>
      <c r="DQ4" s="147" t="s">
        <v>224</v>
      </c>
      <c r="DR4" s="61" t="s">
        <v>225</v>
      </c>
      <c r="DS4" s="425"/>
    </row>
    <row r="5" spans="1:123" s="56" customFormat="1" ht="54.75" customHeight="1">
      <c r="A5" s="408"/>
      <c r="B5" s="408"/>
      <c r="C5" s="435"/>
      <c r="D5" s="420"/>
      <c r="E5" s="438"/>
      <c r="F5" s="438"/>
      <c r="G5" s="420"/>
      <c r="H5" s="420"/>
      <c r="I5" s="420"/>
      <c r="J5" s="435"/>
      <c r="K5" s="420"/>
      <c r="L5" s="420"/>
      <c r="M5" s="420"/>
      <c r="N5" s="420"/>
      <c r="O5" s="420"/>
      <c r="P5" s="420"/>
      <c r="Q5" s="420"/>
      <c r="R5" s="420"/>
      <c r="S5" s="420"/>
      <c r="T5" s="420"/>
      <c r="U5" s="420"/>
      <c r="V5" s="147" t="s">
        <v>226</v>
      </c>
      <c r="W5" s="147" t="s">
        <v>227</v>
      </c>
      <c r="X5" s="147" t="s">
        <v>228</v>
      </c>
      <c r="Y5" s="147" t="s">
        <v>226</v>
      </c>
      <c r="Z5" s="147" t="s">
        <v>227</v>
      </c>
      <c r="AA5" s="147" t="s">
        <v>228</v>
      </c>
      <c r="AB5" s="147" t="s">
        <v>226</v>
      </c>
      <c r="AC5" s="147" t="s">
        <v>227</v>
      </c>
      <c r="AD5" s="147" t="s">
        <v>228</v>
      </c>
      <c r="AE5" s="147" t="s">
        <v>226</v>
      </c>
      <c r="AF5" s="147" t="s">
        <v>227</v>
      </c>
      <c r="AG5" s="147" t="s">
        <v>228</v>
      </c>
      <c r="AH5" s="147" t="s">
        <v>229</v>
      </c>
      <c r="AI5" s="151" t="s">
        <v>230</v>
      </c>
      <c r="AJ5" s="147" t="s">
        <v>231</v>
      </c>
      <c r="AK5" s="152" t="s">
        <v>232</v>
      </c>
      <c r="AL5" s="346" t="s">
        <v>52</v>
      </c>
      <c r="AM5" s="432"/>
      <c r="AN5" s="147" t="s">
        <v>233</v>
      </c>
      <c r="AO5" s="147" t="s">
        <v>234</v>
      </c>
      <c r="AP5" s="147" t="s">
        <v>228</v>
      </c>
      <c r="AQ5" s="146" t="s">
        <v>235</v>
      </c>
      <c r="AR5" s="147" t="s">
        <v>233</v>
      </c>
      <c r="AS5" s="147" t="s">
        <v>234</v>
      </c>
      <c r="AT5" s="147" t="s">
        <v>228</v>
      </c>
      <c r="AU5" s="148" t="s">
        <v>236</v>
      </c>
      <c r="AV5" s="148" t="s">
        <v>203</v>
      </c>
      <c r="AW5" s="149" t="s">
        <v>53</v>
      </c>
      <c r="AX5" s="153" t="s">
        <v>237</v>
      </c>
      <c r="AY5" s="153" t="s">
        <v>238</v>
      </c>
      <c r="AZ5" s="153" t="s">
        <v>239</v>
      </c>
      <c r="BA5" s="153" t="s">
        <v>240</v>
      </c>
      <c r="BB5" s="61" t="s">
        <v>241</v>
      </c>
      <c r="BC5" s="61" t="s">
        <v>242</v>
      </c>
      <c r="BD5" s="61" t="s">
        <v>241</v>
      </c>
      <c r="BE5" s="61" t="s">
        <v>242</v>
      </c>
      <c r="BF5" s="61" t="s">
        <v>243</v>
      </c>
      <c r="BG5" s="61" t="s">
        <v>244</v>
      </c>
      <c r="BH5" s="61" t="s">
        <v>245</v>
      </c>
      <c r="BI5" s="61" t="s">
        <v>246</v>
      </c>
      <c r="BJ5" s="147" t="s">
        <v>247</v>
      </c>
      <c r="BK5" s="147" t="s">
        <v>248</v>
      </c>
      <c r="BL5" s="147" t="s">
        <v>249</v>
      </c>
      <c r="BM5" s="420"/>
      <c r="BN5" s="150" t="s">
        <v>250</v>
      </c>
      <c r="BO5" s="150" t="s">
        <v>251</v>
      </c>
      <c r="BP5" s="61" t="s">
        <v>252</v>
      </c>
      <c r="BQ5" s="150" t="s">
        <v>253</v>
      </c>
      <c r="BR5" s="61" t="s">
        <v>254</v>
      </c>
      <c r="BS5" s="150" t="s">
        <v>255</v>
      </c>
      <c r="BT5" s="61" t="s">
        <v>218</v>
      </c>
      <c r="BU5" s="150" t="s">
        <v>256</v>
      </c>
      <c r="BV5" s="61" t="s">
        <v>257</v>
      </c>
      <c r="BW5" s="61" t="s">
        <v>258</v>
      </c>
      <c r="BX5" s="150" t="s">
        <v>259</v>
      </c>
      <c r="BY5" s="150" t="s">
        <v>260</v>
      </c>
      <c r="BZ5" s="150" t="s">
        <v>261</v>
      </c>
      <c r="CA5" s="154" t="s">
        <v>262</v>
      </c>
      <c r="CB5" s="155" t="s">
        <v>263</v>
      </c>
      <c r="CC5" s="155" t="s">
        <v>264</v>
      </c>
      <c r="CD5" s="155" t="s">
        <v>265</v>
      </c>
      <c r="CE5" s="155" t="s">
        <v>266</v>
      </c>
      <c r="CF5" s="155" t="s">
        <v>267</v>
      </c>
      <c r="CG5" s="155" t="s">
        <v>268</v>
      </c>
      <c r="CH5" s="150" t="s">
        <v>218</v>
      </c>
      <c r="CI5" s="346"/>
      <c r="CJ5" s="150" t="s">
        <v>269</v>
      </c>
      <c r="CK5" s="150" t="s">
        <v>270</v>
      </c>
      <c r="CL5" s="150" t="s">
        <v>271</v>
      </c>
      <c r="CM5" s="150" t="s">
        <v>272</v>
      </c>
      <c r="CN5" s="150" t="s">
        <v>273</v>
      </c>
      <c r="CO5" s="150" t="s">
        <v>274</v>
      </c>
      <c r="CP5" s="150" t="s">
        <v>275</v>
      </c>
      <c r="CQ5" s="150" t="s">
        <v>276</v>
      </c>
      <c r="CR5" s="150" t="s">
        <v>277</v>
      </c>
      <c r="CS5" s="150" t="s">
        <v>278</v>
      </c>
      <c r="CT5" s="150" t="s">
        <v>279</v>
      </c>
      <c r="CU5" s="150" t="s">
        <v>280</v>
      </c>
      <c r="CV5" s="150" t="s">
        <v>281</v>
      </c>
      <c r="CW5" s="150" t="s">
        <v>282</v>
      </c>
      <c r="CX5" s="150" t="s">
        <v>283</v>
      </c>
      <c r="CY5" s="150" t="s">
        <v>284</v>
      </c>
      <c r="CZ5" s="150" t="s">
        <v>240</v>
      </c>
      <c r="DA5" s="150" t="s">
        <v>285</v>
      </c>
      <c r="DB5" s="150" t="s">
        <v>286</v>
      </c>
      <c r="DC5" s="150" t="s">
        <v>287</v>
      </c>
      <c r="DD5" s="150" t="s">
        <v>240</v>
      </c>
      <c r="DE5" s="61" t="s">
        <v>288</v>
      </c>
      <c r="DF5" s="147" t="s">
        <v>289</v>
      </c>
      <c r="DG5" s="61" t="s">
        <v>290</v>
      </c>
      <c r="DH5" s="147" t="s">
        <v>163</v>
      </c>
      <c r="DI5" s="147" t="s">
        <v>291</v>
      </c>
      <c r="DJ5" s="147" t="s">
        <v>240</v>
      </c>
      <c r="DK5" s="147" t="s">
        <v>220</v>
      </c>
      <c r="DL5" s="147" t="s">
        <v>292</v>
      </c>
      <c r="DM5" s="147" t="s">
        <v>240</v>
      </c>
      <c r="DN5" s="147" t="s">
        <v>220</v>
      </c>
      <c r="DO5" s="147" t="s">
        <v>292</v>
      </c>
      <c r="DP5" s="147" t="s">
        <v>240</v>
      </c>
      <c r="DQ5" s="147" t="s">
        <v>289</v>
      </c>
      <c r="DR5" s="61" t="s">
        <v>290</v>
      </c>
      <c r="DS5" s="425"/>
    </row>
    <row r="6" spans="1:123" s="57" customFormat="1" ht="39.75" customHeight="1">
      <c r="A6" s="422" t="s">
        <v>293</v>
      </c>
      <c r="B6" s="422"/>
      <c r="C6" s="157"/>
      <c r="D6" s="156"/>
      <c r="E6" s="158"/>
      <c r="F6" s="158"/>
      <c r="G6" s="156"/>
      <c r="H6" s="156"/>
      <c r="I6" s="156"/>
      <c r="J6" s="157"/>
      <c r="K6" s="156"/>
      <c r="L6" s="156"/>
      <c r="M6" s="156"/>
      <c r="N6" s="159"/>
      <c r="O6" s="159"/>
      <c r="P6" s="159"/>
      <c r="Q6" s="159"/>
      <c r="R6" s="159"/>
      <c r="S6" s="159"/>
      <c r="T6" s="159"/>
      <c r="U6" s="159"/>
      <c r="V6" s="37">
        <v>1.1000000000000001</v>
      </c>
      <c r="W6" s="37">
        <v>1.2</v>
      </c>
      <c r="X6" s="37" t="s">
        <v>294</v>
      </c>
      <c r="Y6" s="37" t="s">
        <v>295</v>
      </c>
      <c r="Z6" s="37" t="s">
        <v>296</v>
      </c>
      <c r="AA6" s="37" t="s">
        <v>297</v>
      </c>
      <c r="AB6" s="37">
        <v>1.7</v>
      </c>
      <c r="AC6" s="37">
        <v>1.8</v>
      </c>
      <c r="AD6" s="37" t="s">
        <v>298</v>
      </c>
      <c r="AE6" s="37" t="s">
        <v>299</v>
      </c>
      <c r="AF6" s="37" t="s">
        <v>300</v>
      </c>
      <c r="AG6" s="160" t="s">
        <v>301</v>
      </c>
      <c r="AH6" s="37" t="s">
        <v>302</v>
      </c>
      <c r="AI6" s="37" t="s">
        <v>303</v>
      </c>
      <c r="AJ6" s="37" t="s">
        <v>304</v>
      </c>
      <c r="AK6" s="37" t="s">
        <v>305</v>
      </c>
      <c r="AL6" s="37" t="s">
        <v>306</v>
      </c>
      <c r="AM6" s="161" t="s">
        <v>307</v>
      </c>
      <c r="AN6" s="37" t="s">
        <v>308</v>
      </c>
      <c r="AO6" s="37" t="s">
        <v>309</v>
      </c>
      <c r="AP6" s="37" t="s">
        <v>310</v>
      </c>
      <c r="AQ6" s="162" t="s">
        <v>311</v>
      </c>
      <c r="AR6" s="37" t="s">
        <v>312</v>
      </c>
      <c r="AS6" s="37" t="s">
        <v>313</v>
      </c>
      <c r="AT6" s="37" t="s">
        <v>314</v>
      </c>
      <c r="AU6" s="163" t="s">
        <v>315</v>
      </c>
      <c r="AV6" s="163" t="s">
        <v>316</v>
      </c>
      <c r="AW6" s="148" t="s">
        <v>317</v>
      </c>
      <c r="AX6" s="164">
        <v>4.4000000000000004</v>
      </c>
      <c r="AY6" s="164">
        <v>4.5</v>
      </c>
      <c r="AZ6" s="164">
        <v>4.5999999999999996</v>
      </c>
      <c r="BA6" s="165">
        <v>4.7</v>
      </c>
      <c r="BB6" s="166" t="s">
        <v>318</v>
      </c>
      <c r="BC6" s="166" t="s">
        <v>319</v>
      </c>
      <c r="BD6" s="166" t="s">
        <v>320</v>
      </c>
      <c r="BE6" s="166" t="s">
        <v>321</v>
      </c>
      <c r="BF6" s="166" t="s">
        <v>322</v>
      </c>
      <c r="BG6" s="166" t="s">
        <v>323</v>
      </c>
      <c r="BH6" s="166" t="s">
        <v>324</v>
      </c>
      <c r="BI6" s="166" t="s">
        <v>325</v>
      </c>
      <c r="BJ6" s="166" t="s">
        <v>326</v>
      </c>
      <c r="BK6" s="166" t="s">
        <v>327</v>
      </c>
      <c r="BL6" s="166" t="s">
        <v>328</v>
      </c>
      <c r="BM6" s="37" t="s">
        <v>329</v>
      </c>
      <c r="BN6" s="37" t="s">
        <v>330</v>
      </c>
      <c r="BO6" s="37" t="s">
        <v>331</v>
      </c>
      <c r="BP6" s="37" t="s">
        <v>332</v>
      </c>
      <c r="BQ6" s="37" t="s">
        <v>333</v>
      </c>
      <c r="BR6" s="37" t="s">
        <v>334</v>
      </c>
      <c r="BS6" s="37" t="s">
        <v>335</v>
      </c>
      <c r="BT6" s="37" t="s">
        <v>336</v>
      </c>
      <c r="BU6" s="37" t="s">
        <v>337</v>
      </c>
      <c r="BV6" s="37" t="s">
        <v>338</v>
      </c>
      <c r="BW6" s="37" t="s">
        <v>339</v>
      </c>
      <c r="BX6" s="37" t="s">
        <v>340</v>
      </c>
      <c r="BY6" s="37" t="s">
        <v>341</v>
      </c>
      <c r="BZ6" s="37" t="s">
        <v>342</v>
      </c>
      <c r="CA6" s="37" t="s">
        <v>343</v>
      </c>
      <c r="CB6" s="37" t="s">
        <v>344</v>
      </c>
      <c r="CC6" s="109" t="s">
        <v>345</v>
      </c>
      <c r="CD6" s="37" t="s">
        <v>346</v>
      </c>
      <c r="CE6" s="37" t="s">
        <v>347</v>
      </c>
      <c r="CF6" s="37" t="s">
        <v>348</v>
      </c>
      <c r="CG6" s="37" t="s">
        <v>349</v>
      </c>
      <c r="CH6" s="37" t="s">
        <v>350</v>
      </c>
      <c r="CI6" s="37" t="s">
        <v>351</v>
      </c>
      <c r="CJ6" s="37" t="s">
        <v>352</v>
      </c>
      <c r="CK6" s="37" t="s">
        <v>353</v>
      </c>
      <c r="CL6" s="37" t="s">
        <v>354</v>
      </c>
      <c r="CM6" s="37" t="s">
        <v>355</v>
      </c>
      <c r="CN6" s="37" t="s">
        <v>356</v>
      </c>
      <c r="CO6" s="37" t="s">
        <v>357</v>
      </c>
      <c r="CP6" s="37" t="s">
        <v>358</v>
      </c>
      <c r="CQ6" s="37" t="s">
        <v>359</v>
      </c>
      <c r="CR6" s="37" t="s">
        <v>360</v>
      </c>
      <c r="CS6" s="37" t="s">
        <v>361</v>
      </c>
      <c r="CT6" s="37" t="s">
        <v>362</v>
      </c>
      <c r="CU6" s="37" t="s">
        <v>363</v>
      </c>
      <c r="CV6" s="37" t="s">
        <v>364</v>
      </c>
      <c r="CW6" s="37" t="s">
        <v>365</v>
      </c>
      <c r="CX6" s="37" t="s">
        <v>366</v>
      </c>
      <c r="CY6" s="37" t="s">
        <v>367</v>
      </c>
      <c r="CZ6" s="37" t="s">
        <v>368</v>
      </c>
      <c r="DA6" s="37" t="s">
        <v>369</v>
      </c>
      <c r="DB6" s="37" t="s">
        <v>370</v>
      </c>
      <c r="DC6" s="37" t="s">
        <v>371</v>
      </c>
      <c r="DD6" s="37" t="s">
        <v>372</v>
      </c>
      <c r="DE6" s="156" t="s">
        <v>373</v>
      </c>
      <c r="DF6" s="166" t="s">
        <v>374</v>
      </c>
      <c r="DG6" s="37" t="s">
        <v>375</v>
      </c>
      <c r="DH6" s="167" t="s">
        <v>376</v>
      </c>
      <c r="DI6" s="167" t="s">
        <v>377</v>
      </c>
      <c r="DJ6" s="160" t="s">
        <v>378</v>
      </c>
      <c r="DK6" s="166" t="s">
        <v>379</v>
      </c>
      <c r="DL6" s="166" t="s">
        <v>380</v>
      </c>
      <c r="DM6" s="166" t="s">
        <v>381</v>
      </c>
      <c r="DN6" s="166" t="s">
        <v>382</v>
      </c>
      <c r="DO6" s="166" t="s">
        <v>383</v>
      </c>
      <c r="DP6" s="166" t="s">
        <v>384</v>
      </c>
      <c r="DQ6" s="166" t="s">
        <v>385</v>
      </c>
      <c r="DR6" s="166" t="s">
        <v>386</v>
      </c>
      <c r="DS6" s="62"/>
    </row>
    <row r="7" spans="1:123" s="58" customFormat="1" ht="44.25" customHeight="1">
      <c r="A7" s="63"/>
      <c r="B7" s="47"/>
      <c r="C7" s="168"/>
      <c r="D7" s="64"/>
      <c r="E7" s="169"/>
      <c r="F7" s="170">
        <f>LOOKUP(1,0/(项目收支汇总表!A5:A306="5.1"),项目收支汇总表!C5:C306)</f>
        <v>0.03</v>
      </c>
      <c r="G7" s="64"/>
      <c r="H7" s="64"/>
      <c r="I7" s="64"/>
      <c r="J7" s="171"/>
      <c r="K7" s="64"/>
      <c r="L7" s="64"/>
      <c r="M7" s="172"/>
      <c r="N7" s="172"/>
      <c r="O7" s="172"/>
      <c r="P7" s="172"/>
      <c r="Q7" s="173"/>
      <c r="R7" s="173"/>
      <c r="S7" s="174"/>
      <c r="T7" s="174"/>
      <c r="U7" s="173"/>
      <c r="V7" s="175">
        <f>'项目月度业主产值表-表3.1'!D6</f>
        <v>0</v>
      </c>
      <c r="W7" s="175">
        <f>'项目月度业主产值表-表3.1'!E6</f>
        <v>0</v>
      </c>
      <c r="X7" s="175">
        <f>V7+W7</f>
        <v>0</v>
      </c>
      <c r="Y7" s="175">
        <f>'项目月度业主产值表-表3.1'!G6</f>
        <v>0</v>
      </c>
      <c r="Z7" s="175">
        <f>'项目月度业主产值表-表3.1'!H6</f>
        <v>0</v>
      </c>
      <c r="AA7" s="175">
        <f>Y7+Z7</f>
        <v>0</v>
      </c>
      <c r="AB7" s="175">
        <f>'项目月度业主产值表-表3.1'!J6</f>
        <v>0</v>
      </c>
      <c r="AC7" s="175">
        <f>'项目月度业主产值表-表3.1'!K6</f>
        <v>0</v>
      </c>
      <c r="AD7" s="175">
        <f>AB7+AC7</f>
        <v>0</v>
      </c>
      <c r="AE7" s="175">
        <f>'项目月度业主产值表-表3.1'!M6</f>
        <v>0</v>
      </c>
      <c r="AF7" s="175">
        <f>'项目月度业主产值表-表3.1'!N6</f>
        <v>0</v>
      </c>
      <c r="AG7" s="175">
        <f>AE7+AF7</f>
        <v>0</v>
      </c>
      <c r="AH7" s="175">
        <f>'项目月度业主产值表-表3.1'!P6</f>
        <v>0</v>
      </c>
      <c r="AI7" s="176" t="e">
        <f>AH7/AE7</f>
        <v>#DIV/0!</v>
      </c>
      <c r="AJ7" s="177">
        <f>BU7</f>
        <v>0</v>
      </c>
      <c r="AK7" s="178" t="e">
        <f>AJ7/AE7</f>
        <v>#DIV/0!</v>
      </c>
      <c r="AL7" s="175">
        <f>AH7-AJ7</f>
        <v>0</v>
      </c>
      <c r="AM7" s="179">
        <f>AE7-AJ7</f>
        <v>0</v>
      </c>
      <c r="AN7" s="175">
        <f>'项目月度完全成本、付款明细表-表3.2'!N69</f>
        <v>0</v>
      </c>
      <c r="AO7" s="175">
        <f>'项目月度完全成本、付款明细表-表3.2'!O69</f>
        <v>0</v>
      </c>
      <c r="AP7" s="175">
        <f>AN7+AO7</f>
        <v>0</v>
      </c>
      <c r="AQ7" s="180">
        <f>'项目月度完全成本、付款明细表-表3.2'!Q7</f>
        <v>0</v>
      </c>
      <c r="AR7" s="175">
        <f>'项目月度完全成本、付款明细表-表3.2'!R69</f>
        <v>0</v>
      </c>
      <c r="AS7" s="175">
        <f>'项目月度完全成本、付款明细表-表3.2'!S69</f>
        <v>0</v>
      </c>
      <c r="AT7" s="175">
        <f>AR7+AS7</f>
        <v>0</v>
      </c>
      <c r="AU7" s="181">
        <f>'项目月度完全成本、付款明细表-表3.2'!V69</f>
        <v>0</v>
      </c>
      <c r="AV7" s="181">
        <f>'项目月度完全成本、付款明细表-表3.2'!X69</f>
        <v>0</v>
      </c>
      <c r="AW7" s="181">
        <f>AU7-AV7</f>
        <v>0</v>
      </c>
      <c r="AX7" s="182">
        <f>'项目月度完全成本、付款明细表-表3.2'!AA7</f>
        <v>0</v>
      </c>
      <c r="AY7" s="182">
        <f>'项目月度完全成本、付款明细表-表3.2'!AB7</f>
        <v>0</v>
      </c>
      <c r="AZ7" s="182">
        <f>'项目月度完全成本、付款明细表-表3.2'!AC7</f>
        <v>0</v>
      </c>
      <c r="BA7" s="183">
        <f>'项目月度完全成本、付款明细表-表3.2'!AD7</f>
        <v>0</v>
      </c>
      <c r="BB7" s="175">
        <f>AG7-AP7</f>
        <v>0</v>
      </c>
      <c r="BC7" s="178" t="e">
        <f>BB7/AG7</f>
        <v>#DIV/0!</v>
      </c>
      <c r="BD7" s="175">
        <f>AE7-AN7</f>
        <v>0</v>
      </c>
      <c r="BE7" s="178" t="e">
        <f>BD7/AE7</f>
        <v>#DIV/0!</v>
      </c>
      <c r="BF7" s="178" t="e">
        <f>AE7/AG7</f>
        <v>#DIV/0!</v>
      </c>
      <c r="BG7" s="178" t="e">
        <f>AJ7/AE7</f>
        <v>#DIV/0!</v>
      </c>
      <c r="BH7" s="178" t="e">
        <f>AE7/AP7</f>
        <v>#DIV/0!</v>
      </c>
      <c r="BI7" s="178" t="e">
        <f>AN7/AP7</f>
        <v>#DIV/0!</v>
      </c>
      <c r="BJ7" s="178" t="e">
        <f>BM7/AG7</f>
        <v>#DIV/0!</v>
      </c>
      <c r="BK7" s="178" t="e">
        <f>BM7/AP7</f>
        <v>#DIV/0!</v>
      </c>
      <c r="BL7" s="178" t="e">
        <f>CI7/AP7</f>
        <v>#DIV/0!</v>
      </c>
      <c r="BM7" s="175">
        <f>BU7+CC7+CG7+CH7</f>
        <v>0</v>
      </c>
      <c r="BN7" s="177">
        <f>LOOKUP(1,0/(项目收支汇总表!A5:A20="2.1"),项目收支汇总表!C5:C20)+LOOKUP(1,0/(项目收支汇总表!A5:A20="2.3"),项目收支汇总表!C5:C20)</f>
        <v>0</v>
      </c>
      <c r="BO7" s="177">
        <f>LOOKUP(1,0/(项目收支汇总表!A5:A306="2.2"),项目收支汇总表!C5:C306)</f>
        <v>0</v>
      </c>
      <c r="BP7" s="177">
        <f>LOOKUP(1,0/(项目收支汇总表!A5:A306="2.6"),项目收支汇总表!C5:C306)</f>
        <v>0</v>
      </c>
      <c r="BQ7" s="177">
        <f>LOOKUP(1,0/(项目收支汇总表!A5:A306="2.4"),项目收支汇总表!C5:C306)</f>
        <v>0</v>
      </c>
      <c r="BR7" s="177">
        <f>LOOKUP(1,0/(项目收支汇总表!A5:A306="2.5"),项目收支汇总表!C5:C306)</f>
        <v>0</v>
      </c>
      <c r="BS7" s="177">
        <f>LOOKUP(1,0/(项目收支汇总表!A5:A306="2.7"),项目收支汇总表!C5:C306)</f>
        <v>0</v>
      </c>
      <c r="BT7" s="177">
        <f>LOOKUP(1,0/(项目收支汇总表!A5:A306="2.8"),项目收支汇总表!C5:C306)</f>
        <v>0</v>
      </c>
      <c r="BU7" s="175">
        <f>SUM(BN7:BT7)</f>
        <v>0</v>
      </c>
      <c r="BV7" s="177">
        <f>LOOKUP(1,0/(项目收支汇总表!A5:A306="2.1.1"),项目收支汇总表!C5:C306)</f>
        <v>0</v>
      </c>
      <c r="BW7" s="177">
        <f>LOOKUP(1,0/(项目收支汇总表!A5:A306="2.1.3"),项目收支汇总表!C5:C306)</f>
        <v>0</v>
      </c>
      <c r="BX7" s="177">
        <f>LOOKUP(1,0/(项目收支汇总表!A5:A306="2.10.1"),项目收支汇总表!C5:C306)+LOOKUP(1,0/(项目收支汇总表!A5:A306="2.10.4"),项目收支汇总表!C5:C306)</f>
        <v>0</v>
      </c>
      <c r="BY7" s="177">
        <v>0</v>
      </c>
      <c r="BZ7" s="177">
        <f>LOOKUP(1,0/(项目收支汇总表!A5:A306="2.9.1"),项目收支汇总表!C5:C306)+LOOKUP(1,0/(项目收支汇总表!A5:A306="2.9.4"),项目收支汇总表!C5:C306)</f>
        <v>0</v>
      </c>
      <c r="CA7" s="177">
        <f>LOOKUP(1,0/(项目收支汇总表!A5:A306="2.11.1"),项目收支汇总表!C5:C306)</f>
        <v>0</v>
      </c>
      <c r="CB7" s="177">
        <f>LOOKUP(1,0/(项目收支汇总表!A5:A306="2.15"),项目收支汇总表!C5:C306)</f>
        <v>0</v>
      </c>
      <c r="CC7" s="177">
        <f>BX7+BY7+BZ7+CA7+CB7</f>
        <v>0</v>
      </c>
      <c r="CD7" s="177">
        <f>LOOKUP(1,0/(项目收支汇总表!A5:A306="2.12.1"),项目收支汇总表!C5:C306)</f>
        <v>0</v>
      </c>
      <c r="CE7" s="177">
        <f>LOOKUP(1,0/(项目收支汇总表!A5:A306="2.12.3"),项目收支汇总表!C5:C306)</f>
        <v>0</v>
      </c>
      <c r="CF7" s="177">
        <f>LOOKUP(1,0/(项目收支汇总表!A5:A306="2.13.1"),项目收支汇总表!C5:C306)</f>
        <v>0</v>
      </c>
      <c r="CG7" s="177">
        <f>CD7+CE7+CF7</f>
        <v>0</v>
      </c>
      <c r="CH7" s="177">
        <f>LOOKUP(1,0/(项目收支汇总表!A5:A306="2.14"),项目收支汇总表!C5:C306)</f>
        <v>0</v>
      </c>
      <c r="CI7" s="175">
        <f>CU7+CZ7+DD7+DE7</f>
        <v>0</v>
      </c>
      <c r="CJ7" s="175">
        <f>'项目月度完全成本、付款明细表-表3.2'!X8</f>
        <v>0</v>
      </c>
      <c r="CK7" s="175">
        <f>'项目月度完全成本、付款明细表-表3.2'!X11</f>
        <v>0</v>
      </c>
      <c r="CL7" s="175">
        <f>'项目月度完全成本、付款明细表-表3.2'!X14</f>
        <v>0</v>
      </c>
      <c r="CM7" s="175">
        <f>'项目月度完全成本、付款明细表-表3.2'!X17</f>
        <v>0</v>
      </c>
      <c r="CN7" s="175">
        <f>'项目月度完全成本、付款明细表-表3.2'!X20</f>
        <v>0</v>
      </c>
      <c r="CO7" s="175">
        <f>'项目月度完全成本、付款明细表-表3.2'!X23</f>
        <v>0</v>
      </c>
      <c r="CP7" s="175">
        <f>'项目月度完全成本、付款明细表-表3.2'!X26</f>
        <v>0</v>
      </c>
      <c r="CQ7" s="175">
        <f>'项目月度完全成本、付款明细表-表3.2'!X30</f>
        <v>0</v>
      </c>
      <c r="CR7" s="175">
        <f>'项目月度完全成本、付款明细表-表3.2'!X57</f>
        <v>0</v>
      </c>
      <c r="CS7" s="175">
        <f>'项目月度完全成本、付款明细表-表3.2'!X61</f>
        <v>0</v>
      </c>
      <c r="CT7" s="175">
        <f>'项目月度完全成本、付款明细表-表3.2'!X66</f>
        <v>0</v>
      </c>
      <c r="CU7" s="175">
        <f>CJ7+CK7+CL7+CM7+CN7+CO7+CP7+CQ7+CR7+CS7+CT7</f>
        <v>0</v>
      </c>
      <c r="CV7" s="175">
        <f>'项目月度完全成本、付款明细表-表3.2'!X72</f>
        <v>0</v>
      </c>
      <c r="CW7" s="175">
        <f>'项目月度完全成本、付款明细表-表3.2'!$X73</f>
        <v>0</v>
      </c>
      <c r="CX7" s="175">
        <f>'项目月度完全成本、付款明细表-表3.2'!$X74</f>
        <v>0</v>
      </c>
      <c r="CY7" s="175">
        <f>'项目月度完全成本、付款明细表-表3.2'!$X75</f>
        <v>0</v>
      </c>
      <c r="CZ7" s="175">
        <f>CV7+CW7+CX7+CY7</f>
        <v>0</v>
      </c>
      <c r="DA7" s="175">
        <f>'项目月度完全成本、付款明细表-表3.2'!$X77</f>
        <v>0</v>
      </c>
      <c r="DB7" s="175">
        <f>'项目月度完全成本、付款明细表-表3.2'!$X78</f>
        <v>0</v>
      </c>
      <c r="DC7" s="175">
        <f>'项目月度完全成本、付款明细表-表3.2'!$X79</f>
        <v>0</v>
      </c>
      <c r="DD7" s="184">
        <f>DA7+DB7+DC7</f>
        <v>0</v>
      </c>
      <c r="DE7" s="184">
        <f>'项目月度完全成本、付款明细表-表3.2'!X80</f>
        <v>0</v>
      </c>
      <c r="DF7" s="184">
        <f>BM7-CI7</f>
        <v>0</v>
      </c>
      <c r="DG7" s="184">
        <f>BU7+CG7+CH7-CU7-DD7-DE7</f>
        <v>0</v>
      </c>
      <c r="DH7" s="184">
        <f>'项目月度业主产值表-表3.1'!R6</f>
        <v>0</v>
      </c>
      <c r="DI7" s="184">
        <f>'项目月度业主产值表-表3.1'!S6</f>
        <v>0</v>
      </c>
      <c r="DJ7" s="184">
        <f>DH7+DI7</f>
        <v>0</v>
      </c>
      <c r="DK7" s="184">
        <f>'项目月度完全成本、付款明细表-表3.2'!AG69</f>
        <v>0</v>
      </c>
      <c r="DL7" s="185">
        <f>'项目月度完全成本、付款明细表-表3.2'!AG70</f>
        <v>0</v>
      </c>
      <c r="DM7" s="184">
        <f>DK7+DL7</f>
        <v>0</v>
      </c>
      <c r="DN7" s="184">
        <f>'项目月度完全成本、付款明细表-表3.2'!AI69</f>
        <v>0</v>
      </c>
      <c r="DO7" s="184">
        <f>'项目月度完全成本、付款明细表-表3.2'!AI70</f>
        <v>0</v>
      </c>
      <c r="DP7" s="184">
        <f>DN7+DO7</f>
        <v>0</v>
      </c>
      <c r="DQ7" s="184">
        <f>IF(DP7&gt;0,DF7+DJ7-DP7,DF7+DJ7-DM7)</f>
        <v>0</v>
      </c>
      <c r="DR7" s="184">
        <f>IF(DN7&gt;0,DG7+DH7-DN7,DG7+DH7-DK7)</f>
        <v>0</v>
      </c>
      <c r="DS7" s="64"/>
    </row>
  </sheetData>
  <mergeCells count="62">
    <mergeCell ref="J4:J5"/>
    <mergeCell ref="E4:E5"/>
    <mergeCell ref="F4:F5"/>
    <mergeCell ref="AN4:AQ4"/>
    <mergeCell ref="AU4:AX4"/>
    <mergeCell ref="Q4:Q5"/>
    <mergeCell ref="R4:R5"/>
    <mergeCell ref="S4:S5"/>
    <mergeCell ref="T4:T5"/>
    <mergeCell ref="U4:U5"/>
    <mergeCell ref="DH4:DJ4"/>
    <mergeCell ref="DK4:DM4"/>
    <mergeCell ref="DN4:DP4"/>
    <mergeCell ref="A6:B6"/>
    <mergeCell ref="A3:A5"/>
    <mergeCell ref="B3:B5"/>
    <mergeCell ref="D4:D5"/>
    <mergeCell ref="G4:G5"/>
    <mergeCell ref="H4:H5"/>
    <mergeCell ref="I4:I5"/>
    <mergeCell ref="K4:K5"/>
    <mergeCell ref="L4:L5"/>
    <mergeCell ref="M4:M5"/>
    <mergeCell ref="N4:N5"/>
    <mergeCell ref="O4:O5"/>
    <mergeCell ref="P4:P5"/>
    <mergeCell ref="BX4:CC4"/>
    <mergeCell ref="CD4:CG4"/>
    <mergeCell ref="CJ4:CU4"/>
    <mergeCell ref="CV4:CZ4"/>
    <mergeCell ref="DA4:DD4"/>
    <mergeCell ref="CI4:CI5"/>
    <mergeCell ref="AJ4:AK4"/>
    <mergeCell ref="AR4:AT4"/>
    <mergeCell ref="BB4:BC4"/>
    <mergeCell ref="BD4:BE4"/>
    <mergeCell ref="BN4:BW4"/>
    <mergeCell ref="BM4:BM5"/>
    <mergeCell ref="AL4:AL5"/>
    <mergeCell ref="AM4:AM5"/>
    <mergeCell ref="AY4:BA4"/>
    <mergeCell ref="V4:X4"/>
    <mergeCell ref="Y4:AA4"/>
    <mergeCell ref="AB4:AD4"/>
    <mergeCell ref="AE4:AG4"/>
    <mergeCell ref="AH4:AI4"/>
    <mergeCell ref="A1:DS1"/>
    <mergeCell ref="V3:AG3"/>
    <mergeCell ref="AN3:AT3"/>
    <mergeCell ref="BB3:BE3"/>
    <mergeCell ref="BF3:BL3"/>
    <mergeCell ref="BM3:CH3"/>
    <mergeCell ref="CI3:DE3"/>
    <mergeCell ref="DF3:DG3"/>
    <mergeCell ref="DH3:DP3"/>
    <mergeCell ref="DQ3:DR3"/>
    <mergeCell ref="DS3:DS5"/>
    <mergeCell ref="AU3:BA3"/>
    <mergeCell ref="AH3:AM3"/>
    <mergeCell ref="B2:D2"/>
    <mergeCell ref="C4:C5"/>
    <mergeCell ref="C3:U3"/>
  </mergeCells>
  <phoneticPr fontId="61" type="noConversion"/>
  <dataValidations count="2">
    <dataValidation type="decimal" operator="greaterThan" allowBlank="1" showInputMessage="1" showErrorMessage="1" errorTitle="出错哒" error="哈哈哈" sqref="L7" xr:uid="{00000000-0002-0000-0600-000000000000}">
      <formula1>0</formula1>
    </dataValidation>
    <dataValidation type="decimal" allowBlank="1" showInputMessage="1" showErrorMessage="1" sqref="BV7 BW7" xr:uid="{00000000-0002-0000-0600-000001000000}">
      <formula1>-100000000000</formula1>
      <formula2>100000000000</formula2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DACC-62A5-F78F-4F41-CF19E6E6C9E3}">
  <dimension ref="A1:IW7"/>
  <sheetViews>
    <sheetView showGridLines="0" workbookViewId="0">
      <selection activeCell="G2" sqref="G2"/>
    </sheetView>
  </sheetViews>
  <sheetFormatPr defaultColWidth="9" defaultRowHeight="17.600000000000001" customHeight="1"/>
  <cols>
    <col min="1" max="1" width="10.29296875" style="51" customWidth="1"/>
    <col min="2" max="2" width="11.29296875" style="51" hidden="1" customWidth="1"/>
    <col min="3" max="3" width="13.5859375" style="51" customWidth="1"/>
    <col min="4" max="16" width="14.5859375" style="51" customWidth="1"/>
    <col min="17" max="17" width="41.5859375" style="51" customWidth="1"/>
    <col min="18" max="20" width="13.1171875" style="51" customWidth="1"/>
    <col min="21" max="21" width="17.703125" style="51" customWidth="1"/>
    <col min="22" max="257" width="9" style="51"/>
  </cols>
  <sheetData>
    <row r="1" spans="1:257" s="49" customFormat="1" ht="41.25" customHeight="1">
      <c r="A1" s="368" t="s">
        <v>387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  <c r="BW1" s="186"/>
      <c r="BX1" s="186"/>
      <c r="BY1" s="186"/>
      <c r="BZ1" s="186"/>
      <c r="CA1" s="186"/>
      <c r="CB1" s="186"/>
      <c r="CC1" s="186"/>
      <c r="CD1" s="186"/>
      <c r="CE1" s="186"/>
      <c r="CF1" s="186"/>
      <c r="CG1" s="186"/>
      <c r="CH1" s="186"/>
      <c r="CI1" s="186"/>
      <c r="CJ1" s="186"/>
      <c r="CK1" s="186"/>
      <c r="CL1" s="186"/>
      <c r="CM1" s="186"/>
      <c r="CN1" s="186"/>
      <c r="CO1" s="186"/>
      <c r="CP1" s="186"/>
      <c r="CQ1" s="186"/>
      <c r="CR1" s="186"/>
      <c r="CS1" s="186"/>
      <c r="CT1" s="186"/>
      <c r="CU1" s="186"/>
      <c r="CV1" s="186"/>
      <c r="CW1" s="186"/>
      <c r="CX1" s="186"/>
      <c r="CY1" s="186"/>
      <c r="CZ1" s="186"/>
      <c r="DA1" s="186"/>
      <c r="DB1" s="186"/>
      <c r="DC1" s="186"/>
      <c r="DD1" s="186"/>
      <c r="DE1" s="186"/>
      <c r="DF1" s="186"/>
      <c r="DG1" s="186"/>
      <c r="DH1" s="186"/>
      <c r="DI1" s="186"/>
      <c r="DJ1" s="186"/>
      <c r="DK1" s="186"/>
      <c r="DL1" s="186"/>
      <c r="DM1" s="186"/>
      <c r="DN1" s="186"/>
      <c r="DO1" s="186"/>
      <c r="DP1" s="186"/>
      <c r="DQ1" s="186"/>
      <c r="DR1" s="186"/>
      <c r="DS1" s="186"/>
      <c r="DT1" s="186"/>
      <c r="DU1" s="186"/>
      <c r="DV1" s="186"/>
      <c r="DW1" s="186"/>
      <c r="DX1" s="186"/>
      <c r="DY1" s="186"/>
      <c r="DZ1" s="186"/>
      <c r="EA1" s="186"/>
      <c r="EB1" s="186"/>
      <c r="EC1" s="186"/>
      <c r="ED1" s="186"/>
      <c r="EE1" s="186"/>
      <c r="EF1" s="186"/>
      <c r="EG1" s="186"/>
      <c r="EH1" s="186"/>
      <c r="EI1" s="186"/>
      <c r="EJ1" s="186"/>
      <c r="EK1" s="186"/>
      <c r="EL1" s="186"/>
      <c r="EM1" s="186"/>
      <c r="EN1" s="186"/>
      <c r="EO1" s="186"/>
      <c r="EP1" s="186"/>
      <c r="EQ1" s="186"/>
      <c r="ER1" s="186"/>
      <c r="ES1" s="186"/>
      <c r="ET1" s="186"/>
      <c r="EU1" s="186"/>
      <c r="EV1" s="186"/>
      <c r="EW1" s="186"/>
      <c r="EX1" s="186"/>
      <c r="EY1" s="186"/>
      <c r="EZ1" s="186"/>
      <c r="FA1" s="186"/>
      <c r="FB1" s="186"/>
      <c r="FC1" s="186"/>
      <c r="FD1" s="186"/>
      <c r="FE1" s="186"/>
      <c r="FF1" s="186"/>
      <c r="FG1" s="186"/>
      <c r="FH1" s="186"/>
      <c r="FI1" s="186"/>
      <c r="FJ1" s="186"/>
      <c r="FK1" s="186"/>
      <c r="FL1" s="186"/>
      <c r="FM1" s="186"/>
      <c r="FN1" s="186"/>
      <c r="FO1" s="186"/>
      <c r="FP1" s="186"/>
      <c r="FQ1" s="186"/>
      <c r="FR1" s="186"/>
      <c r="FS1" s="186"/>
      <c r="FT1" s="186"/>
      <c r="FU1" s="186"/>
      <c r="FV1" s="186"/>
      <c r="FW1" s="186"/>
      <c r="FX1" s="186"/>
      <c r="FY1" s="186"/>
      <c r="FZ1" s="186"/>
      <c r="GA1" s="186"/>
      <c r="GB1" s="186"/>
      <c r="GC1" s="186"/>
      <c r="GD1" s="186"/>
      <c r="GE1" s="186"/>
      <c r="GF1" s="186"/>
      <c r="GG1" s="186"/>
      <c r="GH1" s="186"/>
      <c r="GI1" s="186"/>
      <c r="GJ1" s="186"/>
      <c r="GK1" s="186"/>
      <c r="GL1" s="186"/>
      <c r="GM1" s="186"/>
      <c r="GN1" s="186"/>
      <c r="GO1" s="186"/>
      <c r="GP1" s="186"/>
      <c r="GQ1" s="186"/>
      <c r="GR1" s="186"/>
      <c r="GS1" s="186"/>
      <c r="GT1" s="186"/>
      <c r="GU1" s="186"/>
      <c r="GV1" s="186"/>
      <c r="GW1" s="186"/>
      <c r="GX1" s="186"/>
      <c r="GY1" s="186"/>
      <c r="GZ1" s="186"/>
      <c r="HA1" s="186"/>
      <c r="HB1" s="186"/>
      <c r="HC1" s="186"/>
      <c r="HD1" s="186"/>
      <c r="HE1" s="186"/>
      <c r="HF1" s="186"/>
      <c r="HG1" s="186"/>
      <c r="HH1" s="186"/>
      <c r="HI1" s="186"/>
      <c r="HJ1" s="186"/>
      <c r="HK1" s="186"/>
      <c r="HL1" s="186"/>
      <c r="HM1" s="186"/>
      <c r="HN1" s="186"/>
      <c r="HO1" s="186"/>
      <c r="HP1" s="186"/>
      <c r="HQ1" s="186"/>
      <c r="HR1" s="186"/>
      <c r="HS1" s="186"/>
      <c r="HT1" s="186"/>
      <c r="HU1" s="186"/>
      <c r="HV1" s="186"/>
      <c r="HW1" s="186"/>
      <c r="HX1" s="186"/>
      <c r="HY1" s="186"/>
      <c r="HZ1" s="186"/>
      <c r="IA1" s="186"/>
      <c r="IB1" s="186"/>
      <c r="IC1" s="186"/>
      <c r="ID1" s="186"/>
      <c r="IE1" s="186"/>
      <c r="IF1" s="186"/>
      <c r="IG1" s="186"/>
      <c r="IH1" s="186"/>
      <c r="II1" s="186"/>
      <c r="IJ1" s="186"/>
      <c r="IK1" s="186"/>
      <c r="IL1" s="186"/>
      <c r="IM1" s="186"/>
      <c r="IN1" s="186"/>
      <c r="IO1" s="186"/>
      <c r="IP1" s="186"/>
      <c r="IQ1" s="186"/>
      <c r="IR1" s="186"/>
      <c r="IS1" s="186"/>
      <c r="IT1" s="186"/>
      <c r="IU1" s="186"/>
      <c r="IV1" s="186"/>
    </row>
    <row r="2" spans="1:257" s="50" customFormat="1" ht="30" customHeight="1">
      <c r="A2" s="187" t="s">
        <v>35</v>
      </c>
      <c r="B2" s="188"/>
      <c r="C2" s="448"/>
      <c r="D2" s="448"/>
      <c r="E2" s="448"/>
      <c r="F2" s="187" t="s">
        <v>36</v>
      </c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8"/>
      <c r="S2" s="188"/>
      <c r="T2" s="188"/>
      <c r="U2" s="190" t="s">
        <v>388</v>
      </c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1"/>
      <c r="EP2" s="191"/>
      <c r="EQ2" s="191"/>
      <c r="ER2" s="191"/>
      <c r="ES2" s="191"/>
      <c r="ET2" s="191"/>
      <c r="EU2" s="191"/>
      <c r="EV2" s="191"/>
      <c r="EW2" s="191"/>
      <c r="EX2" s="191"/>
      <c r="EY2" s="191"/>
      <c r="EZ2" s="191"/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  <c r="FL2" s="191"/>
      <c r="FM2" s="191"/>
      <c r="FN2" s="191"/>
      <c r="FO2" s="191"/>
      <c r="FP2" s="191"/>
      <c r="FQ2" s="191"/>
      <c r="FR2" s="191"/>
      <c r="FS2" s="191"/>
      <c r="FT2" s="191"/>
      <c r="FU2" s="191"/>
      <c r="FV2" s="191"/>
      <c r="FW2" s="191"/>
      <c r="FX2" s="191"/>
      <c r="FY2" s="191"/>
      <c r="FZ2" s="191"/>
      <c r="GA2" s="191"/>
      <c r="GB2" s="191"/>
      <c r="GC2" s="191"/>
      <c r="GD2" s="191"/>
      <c r="GE2" s="191"/>
      <c r="GF2" s="191"/>
      <c r="GG2" s="191"/>
      <c r="GH2" s="191"/>
      <c r="GI2" s="191"/>
      <c r="GJ2" s="191"/>
      <c r="GK2" s="191"/>
      <c r="GL2" s="191"/>
      <c r="GM2" s="191"/>
      <c r="GN2" s="191"/>
      <c r="GO2" s="191"/>
      <c r="GP2" s="191"/>
      <c r="GQ2" s="191"/>
      <c r="GR2" s="191"/>
      <c r="GS2" s="191"/>
      <c r="GT2" s="191"/>
      <c r="GU2" s="191"/>
      <c r="GV2" s="191"/>
      <c r="GW2" s="191"/>
      <c r="GX2" s="191"/>
      <c r="GY2" s="191"/>
      <c r="GZ2" s="191"/>
      <c r="HA2" s="191"/>
      <c r="HB2" s="191"/>
      <c r="HC2" s="191"/>
      <c r="HD2" s="191"/>
      <c r="HE2" s="191"/>
      <c r="HF2" s="191"/>
      <c r="HG2" s="191"/>
      <c r="HH2" s="191"/>
      <c r="HI2" s="191"/>
      <c r="HJ2" s="191"/>
      <c r="HK2" s="191"/>
      <c r="HL2" s="191"/>
      <c r="HM2" s="191"/>
      <c r="HN2" s="191"/>
      <c r="HO2" s="191"/>
      <c r="HP2" s="191"/>
      <c r="HQ2" s="191"/>
      <c r="HR2" s="191"/>
      <c r="HS2" s="191"/>
      <c r="HT2" s="191"/>
      <c r="HU2" s="191"/>
      <c r="HV2" s="191"/>
      <c r="HW2" s="191"/>
      <c r="HX2" s="191"/>
      <c r="HY2" s="191"/>
      <c r="HZ2" s="191"/>
      <c r="IA2" s="191"/>
      <c r="IB2" s="191"/>
      <c r="IC2" s="191"/>
      <c r="ID2" s="191"/>
      <c r="IE2" s="191"/>
      <c r="IF2" s="191"/>
      <c r="IG2" s="191"/>
      <c r="IH2" s="191"/>
      <c r="II2" s="191"/>
      <c r="IJ2" s="191"/>
      <c r="IK2" s="191"/>
      <c r="IL2" s="191"/>
      <c r="IM2" s="191"/>
      <c r="IN2" s="191"/>
      <c r="IO2" s="191"/>
      <c r="IP2" s="191"/>
      <c r="IQ2" s="191"/>
      <c r="IR2" s="191"/>
      <c r="IS2" s="191"/>
      <c r="IT2" s="191"/>
      <c r="IU2" s="191"/>
      <c r="IV2" s="191"/>
      <c r="IW2" s="53"/>
    </row>
    <row r="3" spans="1:257" s="50" customFormat="1" ht="30" customHeight="1">
      <c r="A3" s="409" t="s">
        <v>160</v>
      </c>
      <c r="B3" s="409" t="s">
        <v>389</v>
      </c>
      <c r="C3" s="409" t="s">
        <v>390</v>
      </c>
      <c r="D3" s="346" t="s">
        <v>193</v>
      </c>
      <c r="E3" s="346"/>
      <c r="F3" s="346"/>
      <c r="G3" s="346" t="s">
        <v>194</v>
      </c>
      <c r="H3" s="346"/>
      <c r="I3" s="346"/>
      <c r="J3" s="346" t="s">
        <v>195</v>
      </c>
      <c r="K3" s="346"/>
      <c r="L3" s="346"/>
      <c r="M3" s="346" t="s">
        <v>196</v>
      </c>
      <c r="N3" s="346"/>
      <c r="O3" s="346"/>
      <c r="P3" s="409" t="s">
        <v>391</v>
      </c>
      <c r="Q3" s="409"/>
      <c r="R3" s="346" t="s">
        <v>54</v>
      </c>
      <c r="S3" s="346"/>
      <c r="T3" s="346"/>
      <c r="U3" s="447" t="s">
        <v>108</v>
      </c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91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/>
      <c r="BK3" s="191"/>
      <c r="BL3" s="191"/>
      <c r="BM3" s="191"/>
      <c r="BN3" s="191"/>
      <c r="BO3" s="191"/>
      <c r="BP3" s="191"/>
      <c r="BQ3" s="191"/>
      <c r="BR3" s="191"/>
      <c r="BS3" s="191"/>
      <c r="BT3" s="191"/>
      <c r="BU3" s="191"/>
      <c r="BV3" s="191"/>
      <c r="BW3" s="191"/>
      <c r="BX3" s="191"/>
      <c r="BY3" s="191"/>
      <c r="BZ3" s="191"/>
      <c r="CA3" s="191"/>
      <c r="CB3" s="191"/>
      <c r="CC3" s="191"/>
      <c r="CD3" s="191"/>
      <c r="CE3" s="191"/>
      <c r="CF3" s="191"/>
      <c r="CG3" s="191"/>
      <c r="CH3" s="191"/>
      <c r="CI3" s="191"/>
      <c r="CJ3" s="191"/>
      <c r="CK3" s="191"/>
      <c r="CL3" s="191"/>
      <c r="CM3" s="191"/>
      <c r="CN3" s="191"/>
      <c r="CO3" s="191"/>
      <c r="CP3" s="191"/>
      <c r="CQ3" s="191"/>
      <c r="CR3" s="191"/>
      <c r="CS3" s="191"/>
      <c r="CT3" s="191"/>
      <c r="CU3" s="191"/>
      <c r="CV3" s="191"/>
      <c r="CW3" s="191"/>
      <c r="CX3" s="191"/>
      <c r="CY3" s="191"/>
      <c r="CZ3" s="191"/>
      <c r="DA3" s="191"/>
      <c r="DB3" s="191"/>
      <c r="DC3" s="191"/>
      <c r="DD3" s="191"/>
      <c r="DE3" s="191"/>
      <c r="DF3" s="191"/>
      <c r="DG3" s="191"/>
      <c r="DH3" s="191"/>
      <c r="DI3" s="191"/>
      <c r="DJ3" s="191"/>
      <c r="DK3" s="191"/>
      <c r="DL3" s="191"/>
      <c r="DM3" s="191"/>
      <c r="DN3" s="191"/>
      <c r="DO3" s="191"/>
      <c r="DP3" s="191"/>
      <c r="DQ3" s="191"/>
      <c r="DR3" s="191"/>
      <c r="DS3" s="191"/>
      <c r="DT3" s="191"/>
      <c r="DU3" s="191"/>
      <c r="DV3" s="191"/>
      <c r="DW3" s="191"/>
      <c r="DX3" s="191"/>
      <c r="DY3" s="191"/>
      <c r="DZ3" s="191"/>
      <c r="EA3" s="191"/>
      <c r="EB3" s="191"/>
      <c r="EC3" s="191"/>
      <c r="ED3" s="191"/>
      <c r="EE3" s="191"/>
      <c r="EF3" s="191"/>
      <c r="EG3" s="191"/>
      <c r="EH3" s="191"/>
      <c r="EI3" s="191"/>
      <c r="EJ3" s="191"/>
      <c r="EK3" s="191"/>
      <c r="EL3" s="191"/>
      <c r="EM3" s="191"/>
      <c r="EN3" s="191"/>
      <c r="EO3" s="191"/>
      <c r="EP3" s="191"/>
      <c r="EQ3" s="191"/>
      <c r="ER3" s="191"/>
      <c r="ES3" s="191"/>
      <c r="ET3" s="191"/>
      <c r="EU3" s="191"/>
      <c r="EV3" s="191"/>
      <c r="EW3" s="191"/>
      <c r="EX3" s="191"/>
      <c r="EY3" s="191"/>
      <c r="EZ3" s="191"/>
      <c r="FA3" s="191"/>
      <c r="FB3" s="191"/>
      <c r="FC3" s="191"/>
      <c r="FD3" s="191"/>
      <c r="FE3" s="191"/>
      <c r="FF3" s="191"/>
      <c r="FG3" s="191"/>
      <c r="FH3" s="191"/>
      <c r="FI3" s="191"/>
      <c r="FJ3" s="191"/>
      <c r="FK3" s="191"/>
      <c r="FL3" s="191"/>
      <c r="FM3" s="191"/>
      <c r="FN3" s="191"/>
      <c r="FO3" s="191"/>
      <c r="FP3" s="191"/>
      <c r="FQ3" s="191"/>
      <c r="FR3" s="191"/>
      <c r="FS3" s="191"/>
      <c r="FT3" s="191"/>
      <c r="FU3" s="191"/>
      <c r="FV3" s="191"/>
      <c r="FW3" s="191"/>
      <c r="FX3" s="191"/>
      <c r="FY3" s="191"/>
      <c r="FZ3" s="191"/>
      <c r="GA3" s="191"/>
      <c r="GB3" s="191"/>
      <c r="GC3" s="191"/>
      <c r="GD3" s="191"/>
      <c r="GE3" s="191"/>
      <c r="GF3" s="191"/>
      <c r="GG3" s="191"/>
      <c r="GH3" s="191"/>
      <c r="GI3" s="191"/>
      <c r="GJ3" s="191"/>
      <c r="GK3" s="191"/>
      <c r="GL3" s="191"/>
      <c r="GM3" s="191"/>
      <c r="GN3" s="191"/>
      <c r="GO3" s="191"/>
      <c r="GP3" s="191"/>
      <c r="GQ3" s="191"/>
      <c r="GR3" s="191"/>
      <c r="GS3" s="191"/>
      <c r="GT3" s="191"/>
      <c r="GU3" s="191"/>
      <c r="GV3" s="191"/>
      <c r="GW3" s="191"/>
      <c r="GX3" s="191"/>
      <c r="GY3" s="191"/>
      <c r="GZ3" s="191"/>
      <c r="HA3" s="191"/>
      <c r="HB3" s="191"/>
      <c r="HC3" s="191"/>
      <c r="HD3" s="191"/>
      <c r="HE3" s="191"/>
      <c r="HF3" s="191"/>
      <c r="HG3" s="191"/>
      <c r="HH3" s="191"/>
      <c r="HI3" s="191"/>
      <c r="HJ3" s="191"/>
      <c r="HK3" s="191"/>
      <c r="HL3" s="191"/>
      <c r="HM3" s="191"/>
      <c r="HN3" s="191"/>
      <c r="HO3" s="191"/>
      <c r="HP3" s="191"/>
      <c r="HQ3" s="191"/>
      <c r="HR3" s="191"/>
      <c r="HS3" s="191"/>
      <c r="HT3" s="191"/>
      <c r="HU3" s="191"/>
      <c r="HV3" s="191"/>
      <c r="HW3" s="191"/>
      <c r="HX3" s="191"/>
      <c r="HY3" s="191"/>
      <c r="HZ3" s="191"/>
      <c r="IA3" s="191"/>
      <c r="IB3" s="191"/>
      <c r="IC3" s="191"/>
      <c r="ID3" s="191"/>
      <c r="IE3" s="191"/>
      <c r="IF3" s="191"/>
      <c r="IG3" s="191"/>
      <c r="IH3" s="191"/>
      <c r="II3" s="191"/>
      <c r="IJ3" s="191"/>
      <c r="IK3" s="191"/>
      <c r="IL3" s="191"/>
      <c r="IM3" s="191"/>
      <c r="IN3" s="191"/>
      <c r="IO3" s="191"/>
      <c r="IP3" s="191"/>
      <c r="IQ3" s="191"/>
      <c r="IR3" s="191"/>
      <c r="IS3" s="191"/>
      <c r="IT3" s="191"/>
      <c r="IU3" s="191"/>
      <c r="IV3" s="191"/>
      <c r="IW3" s="53"/>
    </row>
    <row r="4" spans="1:257" s="50" customFormat="1" ht="53.25" customHeight="1">
      <c r="A4" s="409"/>
      <c r="B4" s="409"/>
      <c r="C4" s="409"/>
      <c r="D4" s="147" t="s">
        <v>226</v>
      </c>
      <c r="E4" s="147" t="s">
        <v>227</v>
      </c>
      <c r="F4" s="147" t="s">
        <v>228</v>
      </c>
      <c r="G4" s="147" t="s">
        <v>226</v>
      </c>
      <c r="H4" s="147" t="s">
        <v>227</v>
      </c>
      <c r="I4" s="147" t="s">
        <v>228</v>
      </c>
      <c r="J4" s="147" t="s">
        <v>226</v>
      </c>
      <c r="K4" s="147" t="s">
        <v>227</v>
      </c>
      <c r="L4" s="147" t="s">
        <v>228</v>
      </c>
      <c r="M4" s="147" t="s">
        <v>226</v>
      </c>
      <c r="N4" s="147" t="s">
        <v>227</v>
      </c>
      <c r="O4" s="147" t="s">
        <v>228</v>
      </c>
      <c r="P4" s="102" t="s">
        <v>392</v>
      </c>
      <c r="Q4" s="102" t="s">
        <v>393</v>
      </c>
      <c r="R4" s="147" t="s">
        <v>163</v>
      </c>
      <c r="S4" s="147" t="s">
        <v>291</v>
      </c>
      <c r="T4" s="147" t="s">
        <v>240</v>
      </c>
      <c r="U4" s="447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  <c r="BO4" s="191"/>
      <c r="BP4" s="191"/>
      <c r="BQ4" s="191"/>
      <c r="BR4" s="191"/>
      <c r="BS4" s="191"/>
      <c r="BT4" s="191"/>
      <c r="BU4" s="191"/>
      <c r="BV4" s="191"/>
      <c r="BW4" s="191"/>
      <c r="BX4" s="191"/>
      <c r="BY4" s="191"/>
      <c r="BZ4" s="191"/>
      <c r="CA4" s="191"/>
      <c r="CB4" s="191"/>
      <c r="CC4" s="191"/>
      <c r="CD4" s="191"/>
      <c r="CE4" s="191"/>
      <c r="CF4" s="191"/>
      <c r="CG4" s="191"/>
      <c r="CH4" s="191"/>
      <c r="CI4" s="191"/>
      <c r="CJ4" s="191"/>
      <c r="CK4" s="191"/>
      <c r="CL4" s="191"/>
      <c r="CM4" s="191"/>
      <c r="CN4" s="191"/>
      <c r="CO4" s="191"/>
      <c r="CP4" s="191"/>
      <c r="CQ4" s="191"/>
      <c r="CR4" s="191"/>
      <c r="CS4" s="191"/>
      <c r="CT4" s="191"/>
      <c r="CU4" s="191"/>
      <c r="CV4" s="191"/>
      <c r="CW4" s="191"/>
      <c r="CX4" s="191"/>
      <c r="CY4" s="191"/>
      <c r="CZ4" s="191"/>
      <c r="DA4" s="191"/>
      <c r="DB4" s="191"/>
      <c r="DC4" s="191"/>
      <c r="DD4" s="191"/>
      <c r="DE4" s="191"/>
      <c r="DF4" s="191"/>
      <c r="DG4" s="191"/>
      <c r="DH4" s="191"/>
      <c r="DI4" s="191"/>
      <c r="DJ4" s="191"/>
      <c r="DK4" s="191"/>
      <c r="DL4" s="191"/>
      <c r="DM4" s="191"/>
      <c r="DN4" s="191"/>
      <c r="DO4" s="191"/>
      <c r="DP4" s="191"/>
      <c r="DQ4" s="191"/>
      <c r="DR4" s="191"/>
      <c r="DS4" s="191"/>
      <c r="DT4" s="191"/>
      <c r="DU4" s="191"/>
      <c r="DV4" s="191"/>
      <c r="DW4" s="191"/>
      <c r="DX4" s="191"/>
      <c r="DY4" s="191"/>
      <c r="DZ4" s="191"/>
      <c r="EA4" s="191"/>
      <c r="EB4" s="191"/>
      <c r="EC4" s="191"/>
      <c r="ED4" s="191"/>
      <c r="EE4" s="191"/>
      <c r="EF4" s="191"/>
      <c r="EG4" s="191"/>
      <c r="EH4" s="191"/>
      <c r="EI4" s="191"/>
      <c r="EJ4" s="191"/>
      <c r="EK4" s="191"/>
      <c r="EL4" s="191"/>
      <c r="EM4" s="191"/>
      <c r="EN4" s="191"/>
      <c r="EO4" s="191"/>
      <c r="EP4" s="191"/>
      <c r="EQ4" s="191"/>
      <c r="ER4" s="191"/>
      <c r="ES4" s="191"/>
      <c r="ET4" s="191"/>
      <c r="EU4" s="191"/>
      <c r="EV4" s="191"/>
      <c r="EW4" s="191"/>
      <c r="EX4" s="191"/>
      <c r="EY4" s="191"/>
      <c r="EZ4" s="191"/>
      <c r="FA4" s="191"/>
      <c r="FB4" s="191"/>
      <c r="FC4" s="191"/>
      <c r="FD4" s="191"/>
      <c r="FE4" s="191"/>
      <c r="FF4" s="191"/>
      <c r="FG4" s="191"/>
      <c r="FH4" s="191"/>
      <c r="FI4" s="191"/>
      <c r="FJ4" s="191"/>
      <c r="FK4" s="191"/>
      <c r="FL4" s="191"/>
      <c r="FM4" s="191"/>
      <c r="FN4" s="191"/>
      <c r="FO4" s="191"/>
      <c r="FP4" s="191"/>
      <c r="FQ4" s="191"/>
      <c r="FR4" s="191"/>
      <c r="FS4" s="191"/>
      <c r="FT4" s="191"/>
      <c r="FU4" s="191"/>
      <c r="FV4" s="191"/>
      <c r="FW4" s="191"/>
      <c r="FX4" s="191"/>
      <c r="FY4" s="191"/>
      <c r="FZ4" s="191"/>
      <c r="GA4" s="191"/>
      <c r="GB4" s="191"/>
      <c r="GC4" s="191"/>
      <c r="GD4" s="191"/>
      <c r="GE4" s="191"/>
      <c r="GF4" s="191"/>
      <c r="GG4" s="191"/>
      <c r="GH4" s="191"/>
      <c r="GI4" s="191"/>
      <c r="GJ4" s="191"/>
      <c r="GK4" s="191"/>
      <c r="GL4" s="191"/>
      <c r="GM4" s="191"/>
      <c r="GN4" s="191"/>
      <c r="GO4" s="191"/>
      <c r="GP4" s="191"/>
      <c r="GQ4" s="191"/>
      <c r="GR4" s="191"/>
      <c r="GS4" s="191"/>
      <c r="GT4" s="191"/>
      <c r="GU4" s="191"/>
      <c r="GV4" s="191"/>
      <c r="GW4" s="191"/>
      <c r="GX4" s="191"/>
      <c r="GY4" s="191"/>
      <c r="GZ4" s="191"/>
      <c r="HA4" s="191"/>
      <c r="HB4" s="191"/>
      <c r="HC4" s="191"/>
      <c r="HD4" s="191"/>
      <c r="HE4" s="191"/>
      <c r="HF4" s="191"/>
      <c r="HG4" s="191"/>
      <c r="HH4" s="191"/>
      <c r="HI4" s="191"/>
      <c r="HJ4" s="191"/>
      <c r="HK4" s="191"/>
      <c r="HL4" s="191"/>
      <c r="HM4" s="191"/>
      <c r="HN4" s="191"/>
      <c r="HO4" s="191"/>
      <c r="HP4" s="191"/>
      <c r="HQ4" s="191"/>
      <c r="HR4" s="191"/>
      <c r="HS4" s="191"/>
      <c r="HT4" s="191"/>
      <c r="HU4" s="191"/>
      <c r="HV4" s="191"/>
      <c r="HW4" s="191"/>
      <c r="HX4" s="191"/>
      <c r="HY4" s="191"/>
      <c r="HZ4" s="191"/>
      <c r="IA4" s="191"/>
      <c r="IB4" s="191"/>
      <c r="IC4" s="191"/>
      <c r="ID4" s="191"/>
      <c r="IE4" s="191"/>
      <c r="IF4" s="191"/>
      <c r="IG4" s="191"/>
      <c r="IH4" s="191"/>
      <c r="II4" s="191"/>
      <c r="IJ4" s="191"/>
      <c r="IK4" s="191"/>
      <c r="IL4" s="191"/>
      <c r="IM4" s="191"/>
      <c r="IN4" s="191"/>
      <c r="IO4" s="191"/>
      <c r="IP4" s="191"/>
      <c r="IQ4" s="191"/>
      <c r="IR4" s="191"/>
      <c r="IS4" s="191"/>
      <c r="IT4" s="191"/>
      <c r="IU4" s="191"/>
      <c r="IV4" s="191"/>
      <c r="IW4" s="53"/>
    </row>
    <row r="5" spans="1:257" s="50" customFormat="1" ht="39.75" customHeight="1">
      <c r="A5" s="102"/>
      <c r="B5" s="102" t="s">
        <v>293</v>
      </c>
      <c r="C5" s="102"/>
      <c r="D5" s="37">
        <v>1.1000000000000001</v>
      </c>
      <c r="E5" s="37">
        <v>1.2</v>
      </c>
      <c r="F5" s="37" t="s">
        <v>294</v>
      </c>
      <c r="G5" s="37" t="s">
        <v>295</v>
      </c>
      <c r="H5" s="37" t="s">
        <v>296</v>
      </c>
      <c r="I5" s="37" t="s">
        <v>297</v>
      </c>
      <c r="J5" s="37">
        <v>1.7</v>
      </c>
      <c r="K5" s="37">
        <v>1.8</v>
      </c>
      <c r="L5" s="37" t="s">
        <v>298</v>
      </c>
      <c r="M5" s="37" t="s">
        <v>299</v>
      </c>
      <c r="N5" s="37" t="s">
        <v>300</v>
      </c>
      <c r="O5" s="37" t="s">
        <v>394</v>
      </c>
      <c r="P5" s="102">
        <v>2.1</v>
      </c>
      <c r="Q5" s="102">
        <v>2.2000000000000002</v>
      </c>
      <c r="R5" s="167" t="s">
        <v>308</v>
      </c>
      <c r="S5" s="167" t="s">
        <v>309</v>
      </c>
      <c r="T5" s="160" t="s">
        <v>310</v>
      </c>
      <c r="U5" s="98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  <c r="BW5" s="191"/>
      <c r="BX5" s="191"/>
      <c r="BY5" s="191"/>
      <c r="BZ5" s="191"/>
      <c r="CA5" s="191"/>
      <c r="CB5" s="191"/>
      <c r="CC5" s="191"/>
      <c r="CD5" s="191"/>
      <c r="CE5" s="191"/>
      <c r="CF5" s="191"/>
      <c r="CG5" s="191"/>
      <c r="CH5" s="191"/>
      <c r="CI5" s="191"/>
      <c r="CJ5" s="191"/>
      <c r="CK5" s="191"/>
      <c r="CL5" s="191"/>
      <c r="CM5" s="191"/>
      <c r="CN5" s="191"/>
      <c r="CO5" s="191"/>
      <c r="CP5" s="191"/>
      <c r="CQ5" s="191"/>
      <c r="CR5" s="191"/>
      <c r="CS5" s="191"/>
      <c r="CT5" s="191"/>
      <c r="CU5" s="191"/>
      <c r="CV5" s="191"/>
      <c r="CW5" s="191"/>
      <c r="CX5" s="191"/>
      <c r="CY5" s="191"/>
      <c r="CZ5" s="191"/>
      <c r="DA5" s="191"/>
      <c r="DB5" s="191"/>
      <c r="DC5" s="191"/>
      <c r="DD5" s="191"/>
      <c r="DE5" s="191"/>
      <c r="DF5" s="191"/>
      <c r="DG5" s="191"/>
      <c r="DH5" s="191"/>
      <c r="DI5" s="191"/>
      <c r="DJ5" s="191"/>
      <c r="DK5" s="191"/>
      <c r="DL5" s="191"/>
      <c r="DM5" s="191"/>
      <c r="DN5" s="191"/>
      <c r="DO5" s="191"/>
      <c r="DP5" s="191"/>
      <c r="DQ5" s="191"/>
      <c r="DR5" s="191"/>
      <c r="DS5" s="191"/>
      <c r="DT5" s="191"/>
      <c r="DU5" s="191"/>
      <c r="DV5" s="191"/>
      <c r="DW5" s="191"/>
      <c r="DX5" s="191"/>
      <c r="DY5" s="191"/>
      <c r="DZ5" s="191"/>
      <c r="EA5" s="191"/>
      <c r="EB5" s="191"/>
      <c r="EC5" s="191"/>
      <c r="ED5" s="191"/>
      <c r="EE5" s="191"/>
      <c r="EF5" s="191"/>
      <c r="EG5" s="191"/>
      <c r="EH5" s="191"/>
      <c r="EI5" s="191"/>
      <c r="EJ5" s="191"/>
      <c r="EK5" s="191"/>
      <c r="EL5" s="191"/>
      <c r="EM5" s="191"/>
      <c r="EN5" s="191"/>
      <c r="EO5" s="191"/>
      <c r="EP5" s="191"/>
      <c r="EQ5" s="191"/>
      <c r="ER5" s="191"/>
      <c r="ES5" s="191"/>
      <c r="ET5" s="191"/>
      <c r="EU5" s="191"/>
      <c r="EV5" s="191"/>
      <c r="EW5" s="191"/>
      <c r="EX5" s="191"/>
      <c r="EY5" s="191"/>
      <c r="EZ5" s="191"/>
      <c r="FA5" s="191"/>
      <c r="FB5" s="191"/>
      <c r="FC5" s="191"/>
      <c r="FD5" s="191"/>
      <c r="FE5" s="191"/>
      <c r="FF5" s="191"/>
      <c r="FG5" s="191"/>
      <c r="FH5" s="191"/>
      <c r="FI5" s="191"/>
      <c r="FJ5" s="191"/>
      <c r="FK5" s="191"/>
      <c r="FL5" s="191"/>
      <c r="FM5" s="191"/>
      <c r="FN5" s="191"/>
      <c r="FO5" s="191"/>
      <c r="FP5" s="191"/>
      <c r="FQ5" s="191"/>
      <c r="FR5" s="191"/>
      <c r="FS5" s="191"/>
      <c r="FT5" s="191"/>
      <c r="FU5" s="191"/>
      <c r="FV5" s="191"/>
      <c r="FW5" s="191"/>
      <c r="FX5" s="191"/>
      <c r="FY5" s="191"/>
      <c r="FZ5" s="191"/>
      <c r="GA5" s="191"/>
      <c r="GB5" s="191"/>
      <c r="GC5" s="191"/>
      <c r="GD5" s="191"/>
      <c r="GE5" s="191"/>
      <c r="GF5" s="191"/>
      <c r="GG5" s="191"/>
      <c r="GH5" s="191"/>
      <c r="GI5" s="191"/>
      <c r="GJ5" s="191"/>
      <c r="GK5" s="191"/>
      <c r="GL5" s="191"/>
      <c r="GM5" s="191"/>
      <c r="GN5" s="191"/>
      <c r="GO5" s="191"/>
      <c r="GP5" s="191"/>
      <c r="GQ5" s="191"/>
      <c r="GR5" s="191"/>
      <c r="GS5" s="191"/>
      <c r="GT5" s="191"/>
      <c r="GU5" s="191"/>
      <c r="GV5" s="191"/>
      <c r="GW5" s="191"/>
      <c r="GX5" s="191"/>
      <c r="GY5" s="191"/>
      <c r="GZ5" s="191"/>
      <c r="HA5" s="191"/>
      <c r="HB5" s="191"/>
      <c r="HC5" s="191"/>
      <c r="HD5" s="191"/>
      <c r="HE5" s="191"/>
      <c r="HF5" s="191"/>
      <c r="HG5" s="191"/>
      <c r="HH5" s="191"/>
      <c r="HI5" s="191"/>
      <c r="HJ5" s="191"/>
      <c r="HK5" s="191"/>
      <c r="HL5" s="191"/>
      <c r="HM5" s="191"/>
      <c r="HN5" s="191"/>
      <c r="HO5" s="191"/>
      <c r="HP5" s="191"/>
      <c r="HQ5" s="191"/>
      <c r="HR5" s="191"/>
      <c r="HS5" s="191"/>
      <c r="HT5" s="191"/>
      <c r="HU5" s="191"/>
      <c r="HV5" s="191"/>
      <c r="HW5" s="191"/>
      <c r="HX5" s="191"/>
      <c r="HY5" s="191"/>
      <c r="HZ5" s="191"/>
      <c r="IA5" s="191"/>
      <c r="IB5" s="191"/>
      <c r="IC5" s="191"/>
      <c r="ID5" s="191"/>
      <c r="IE5" s="191"/>
      <c r="IF5" s="191"/>
      <c r="IG5" s="191"/>
      <c r="IH5" s="191"/>
      <c r="II5" s="191"/>
      <c r="IJ5" s="191"/>
      <c r="IK5" s="191"/>
      <c r="IL5" s="191"/>
      <c r="IM5" s="191"/>
      <c r="IN5" s="191"/>
      <c r="IO5" s="191"/>
      <c r="IP5" s="191"/>
      <c r="IQ5" s="191"/>
      <c r="IR5" s="191"/>
      <c r="IS5" s="191"/>
      <c r="IT5" s="191"/>
      <c r="IU5" s="191"/>
      <c r="IV5" s="191"/>
      <c r="IW5" s="53"/>
    </row>
    <row r="6" spans="1:257" s="50" customFormat="1" ht="56.25" customHeight="1">
      <c r="A6" s="99">
        <v>1</v>
      </c>
      <c r="B6" s="192"/>
      <c r="C6" s="113"/>
      <c r="D6" s="193"/>
      <c r="E6" s="193"/>
      <c r="F6" s="193">
        <f>D6+E6</f>
        <v>0</v>
      </c>
      <c r="G6" s="193">
        <f>M6-D6</f>
        <v>0</v>
      </c>
      <c r="H6" s="193">
        <f>N6-E6</f>
        <v>0</v>
      </c>
      <c r="I6" s="193">
        <f>G6+H6</f>
        <v>0</v>
      </c>
      <c r="J6" s="193"/>
      <c r="K6" s="193"/>
      <c r="L6" s="193">
        <f>J6+K6</f>
        <v>0</v>
      </c>
      <c r="M6" s="193"/>
      <c r="N6" s="194">
        <f>'项目月度业主待确产值分析表-表3.1.1'!C8</f>
        <v>0</v>
      </c>
      <c r="O6" s="193">
        <f>M6+N6</f>
        <v>0</v>
      </c>
      <c r="P6" s="194"/>
      <c r="Q6" s="52" t="s">
        <v>395</v>
      </c>
      <c r="R6" s="195"/>
      <c r="S6" s="195"/>
      <c r="T6" s="195">
        <f>R6+S6</f>
        <v>0</v>
      </c>
      <c r="U6" s="54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1"/>
      <c r="AX6" s="191"/>
      <c r="AY6" s="191"/>
      <c r="AZ6" s="191"/>
      <c r="BA6" s="191"/>
      <c r="BB6" s="191"/>
      <c r="BC6" s="191"/>
      <c r="BD6" s="191"/>
      <c r="BE6" s="191"/>
      <c r="BF6" s="191"/>
      <c r="BG6" s="191"/>
      <c r="BH6" s="191"/>
      <c r="BI6" s="191"/>
      <c r="BJ6" s="191"/>
      <c r="BK6" s="191"/>
      <c r="BL6" s="191"/>
      <c r="BM6" s="191"/>
      <c r="BN6" s="191"/>
      <c r="BO6" s="191"/>
      <c r="BP6" s="191"/>
      <c r="BQ6" s="191"/>
      <c r="BR6" s="191"/>
      <c r="BS6" s="191"/>
      <c r="BT6" s="191"/>
      <c r="BU6" s="191"/>
      <c r="BV6" s="191"/>
      <c r="BW6" s="191"/>
      <c r="BX6" s="191"/>
      <c r="BY6" s="191"/>
      <c r="BZ6" s="191"/>
      <c r="CA6" s="191"/>
      <c r="CB6" s="191"/>
      <c r="CC6" s="191"/>
      <c r="CD6" s="191"/>
      <c r="CE6" s="191"/>
      <c r="CF6" s="191"/>
      <c r="CG6" s="191"/>
      <c r="CH6" s="191"/>
      <c r="CI6" s="191"/>
      <c r="CJ6" s="191"/>
      <c r="CK6" s="191"/>
      <c r="CL6" s="191"/>
      <c r="CM6" s="191"/>
      <c r="CN6" s="191"/>
      <c r="CO6" s="191"/>
      <c r="CP6" s="191"/>
      <c r="CQ6" s="191"/>
      <c r="CR6" s="191"/>
      <c r="CS6" s="191"/>
      <c r="CT6" s="191"/>
      <c r="CU6" s="191"/>
      <c r="CV6" s="191"/>
      <c r="CW6" s="191"/>
      <c r="CX6" s="191"/>
      <c r="CY6" s="191"/>
      <c r="CZ6" s="191"/>
      <c r="DA6" s="191"/>
      <c r="DB6" s="191"/>
      <c r="DC6" s="191"/>
      <c r="DD6" s="191"/>
      <c r="DE6" s="191"/>
      <c r="DF6" s="191"/>
      <c r="DG6" s="191"/>
      <c r="DH6" s="191"/>
      <c r="DI6" s="191"/>
      <c r="DJ6" s="191"/>
      <c r="DK6" s="191"/>
      <c r="DL6" s="191"/>
      <c r="DM6" s="191"/>
      <c r="DN6" s="191"/>
      <c r="DO6" s="191"/>
      <c r="DP6" s="191"/>
      <c r="DQ6" s="191"/>
      <c r="DR6" s="191"/>
      <c r="DS6" s="191"/>
      <c r="DT6" s="191"/>
      <c r="DU6" s="191"/>
      <c r="DV6" s="191"/>
      <c r="DW6" s="191"/>
      <c r="DX6" s="191"/>
      <c r="DY6" s="191"/>
      <c r="DZ6" s="191"/>
      <c r="EA6" s="191"/>
      <c r="EB6" s="191"/>
      <c r="EC6" s="191"/>
      <c r="ED6" s="191"/>
      <c r="EE6" s="191"/>
      <c r="EF6" s="191"/>
      <c r="EG6" s="191"/>
      <c r="EH6" s="191"/>
      <c r="EI6" s="191"/>
      <c r="EJ6" s="191"/>
      <c r="EK6" s="191"/>
      <c r="EL6" s="191"/>
      <c r="EM6" s="191"/>
      <c r="EN6" s="191"/>
      <c r="EO6" s="191"/>
      <c r="EP6" s="191"/>
      <c r="EQ6" s="191"/>
      <c r="ER6" s="191"/>
      <c r="ES6" s="191"/>
      <c r="ET6" s="191"/>
      <c r="EU6" s="191"/>
      <c r="EV6" s="191"/>
      <c r="EW6" s="191"/>
      <c r="EX6" s="191"/>
      <c r="EY6" s="191"/>
      <c r="EZ6" s="191"/>
      <c r="FA6" s="191"/>
      <c r="FB6" s="191"/>
      <c r="FC6" s="191"/>
      <c r="FD6" s="191"/>
      <c r="FE6" s="191"/>
      <c r="FF6" s="191"/>
      <c r="FG6" s="191"/>
      <c r="FH6" s="191"/>
      <c r="FI6" s="191"/>
      <c r="FJ6" s="191"/>
      <c r="FK6" s="191"/>
      <c r="FL6" s="191"/>
      <c r="FM6" s="191"/>
      <c r="FN6" s="191"/>
      <c r="FO6" s="191"/>
      <c r="FP6" s="191"/>
      <c r="FQ6" s="191"/>
      <c r="FR6" s="191"/>
      <c r="FS6" s="191"/>
      <c r="FT6" s="191"/>
      <c r="FU6" s="191"/>
      <c r="FV6" s="191"/>
      <c r="FW6" s="191"/>
      <c r="FX6" s="191"/>
      <c r="FY6" s="191"/>
      <c r="FZ6" s="191"/>
      <c r="GA6" s="191"/>
      <c r="GB6" s="191"/>
      <c r="GC6" s="191"/>
      <c r="GD6" s="191"/>
      <c r="GE6" s="191"/>
      <c r="GF6" s="191"/>
      <c r="GG6" s="191"/>
      <c r="GH6" s="191"/>
      <c r="GI6" s="191"/>
      <c r="GJ6" s="191"/>
      <c r="GK6" s="191"/>
      <c r="GL6" s="191"/>
      <c r="GM6" s="191"/>
      <c r="GN6" s="191"/>
      <c r="GO6" s="191"/>
      <c r="GP6" s="191"/>
      <c r="GQ6" s="191"/>
      <c r="GR6" s="191"/>
      <c r="GS6" s="191"/>
      <c r="GT6" s="191"/>
      <c r="GU6" s="191"/>
      <c r="GV6" s="191"/>
      <c r="GW6" s="191"/>
      <c r="GX6" s="191"/>
      <c r="GY6" s="191"/>
      <c r="GZ6" s="191"/>
      <c r="HA6" s="191"/>
      <c r="HB6" s="191"/>
      <c r="HC6" s="191"/>
      <c r="HD6" s="191"/>
      <c r="HE6" s="191"/>
      <c r="HF6" s="191"/>
      <c r="HG6" s="191"/>
      <c r="HH6" s="191"/>
      <c r="HI6" s="191"/>
      <c r="HJ6" s="191"/>
      <c r="HK6" s="191"/>
      <c r="HL6" s="191"/>
      <c r="HM6" s="191"/>
      <c r="HN6" s="191"/>
      <c r="HO6" s="191"/>
      <c r="HP6" s="191"/>
      <c r="HQ6" s="191"/>
      <c r="HR6" s="191"/>
      <c r="HS6" s="191"/>
      <c r="HT6" s="191"/>
      <c r="HU6" s="191"/>
      <c r="HV6" s="191"/>
      <c r="HW6" s="191"/>
      <c r="HX6" s="191"/>
      <c r="HY6" s="191"/>
      <c r="HZ6" s="191"/>
      <c r="IA6" s="191"/>
      <c r="IB6" s="191"/>
      <c r="IC6" s="191"/>
      <c r="ID6" s="191"/>
      <c r="IE6" s="191"/>
      <c r="IF6" s="191"/>
      <c r="IG6" s="191"/>
      <c r="IH6" s="191"/>
      <c r="II6" s="191"/>
      <c r="IJ6" s="191"/>
      <c r="IK6" s="191"/>
      <c r="IL6" s="191"/>
      <c r="IM6" s="191"/>
      <c r="IN6" s="191"/>
      <c r="IO6" s="191"/>
      <c r="IP6" s="191"/>
      <c r="IQ6" s="191"/>
      <c r="IR6" s="191"/>
      <c r="IS6" s="191"/>
      <c r="IT6" s="191"/>
      <c r="IU6" s="191"/>
      <c r="IV6" s="191"/>
      <c r="IW6" s="53"/>
    </row>
    <row r="7" spans="1:257" s="50" customFormat="1" ht="39.75" customHeight="1">
      <c r="A7" s="445" t="s">
        <v>396</v>
      </c>
      <c r="B7" s="446"/>
      <c r="C7" s="446"/>
      <c r="D7" s="446"/>
      <c r="E7" s="446"/>
      <c r="F7" s="446"/>
      <c r="G7" s="446"/>
      <c r="H7" s="446"/>
      <c r="I7" s="446"/>
      <c r="J7" s="446"/>
      <c r="K7" s="446"/>
      <c r="L7" s="446"/>
      <c r="M7" s="446"/>
      <c r="N7" s="446"/>
      <c r="O7" s="446"/>
      <c r="P7" s="446"/>
      <c r="Q7" s="446"/>
      <c r="R7" s="446"/>
      <c r="S7" s="446"/>
      <c r="T7" s="446"/>
      <c r="U7" s="446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</row>
  </sheetData>
  <mergeCells count="13">
    <mergeCell ref="A7:U7"/>
    <mergeCell ref="A3:A4"/>
    <mergeCell ref="B3:B4"/>
    <mergeCell ref="C3:C4"/>
    <mergeCell ref="U3:U4"/>
    <mergeCell ref="A1:U1"/>
    <mergeCell ref="D3:F3"/>
    <mergeCell ref="G3:I3"/>
    <mergeCell ref="J3:L3"/>
    <mergeCell ref="M3:O3"/>
    <mergeCell ref="P3:Q3"/>
    <mergeCell ref="R3:T3"/>
    <mergeCell ref="C2:E2"/>
  </mergeCells>
  <phoneticPr fontId="61" type="noConversion"/>
  <dataValidations count="1">
    <dataValidation type="decimal" allowBlank="1" showInputMessage="1" showErrorMessage="1" sqref="D6:E6 J6 M6:N6 P6 R6:S6" xr:uid="{00000000-0002-0000-0700-000000000000}">
      <formula1>-100000000000</formula1>
      <formula2>100000000000</formula2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AB9F-92AD-9F7D-567C-53E15718B0CA}">
  <dimension ref="A1:E8"/>
  <sheetViews>
    <sheetView showGridLines="0" workbookViewId="0">
      <selection activeCell="E6" sqref="E6"/>
    </sheetView>
  </sheetViews>
  <sheetFormatPr defaultColWidth="9" defaultRowHeight="14" customHeight="1"/>
  <cols>
    <col min="1" max="1" width="10.41015625" style="18" customWidth="1"/>
    <col min="2" max="2" width="24.41015625" customWidth="1"/>
    <col min="3" max="3" width="55.703125" customWidth="1"/>
    <col min="4" max="4" width="21.5859375" customWidth="1"/>
    <col min="5" max="5" width="18.41015625" customWidth="1"/>
  </cols>
  <sheetData>
    <row r="1" spans="1:5" ht="54" customHeight="1">
      <c r="A1" s="359" t="s">
        <v>397</v>
      </c>
      <c r="B1" s="359"/>
      <c r="C1" s="359"/>
      <c r="D1" s="359"/>
      <c r="E1" s="360"/>
    </row>
    <row r="2" spans="1:5" ht="16.5" customHeight="1">
      <c r="A2" s="196" t="s">
        <v>35</v>
      </c>
      <c r="B2" s="450"/>
      <c r="C2" s="450"/>
      <c r="D2" s="88" t="s">
        <v>36</v>
      </c>
    </row>
    <row r="3" spans="1:5" s="17" customFormat="1" ht="33.75" customHeight="1">
      <c r="A3" s="197" t="s">
        <v>160</v>
      </c>
      <c r="B3" s="197" t="s">
        <v>105</v>
      </c>
      <c r="C3" s="449" t="s">
        <v>398</v>
      </c>
      <c r="D3" s="449" t="s">
        <v>398</v>
      </c>
      <c r="E3" s="46" t="s">
        <v>173</v>
      </c>
    </row>
    <row r="4" spans="1:5" s="17" customFormat="1" ht="33.75" hidden="1" customHeight="1">
      <c r="A4" s="197"/>
      <c r="B4" s="197"/>
      <c r="C4" s="198"/>
      <c r="D4" s="199"/>
      <c r="E4" s="46"/>
    </row>
    <row r="5" spans="1:5" s="17" customFormat="1" ht="86.25" customHeight="1">
      <c r="A5" s="119">
        <v>1</v>
      </c>
      <c r="B5" s="200" t="str">
        <f>"[10]实际形象进度描述"</f>
        <v>[10]实际形象进度描述</v>
      </c>
      <c r="C5" s="201"/>
      <c r="D5" s="202"/>
      <c r="E5" s="72"/>
    </row>
    <row r="6" spans="1:5" s="17" customFormat="1" ht="86.25" customHeight="1">
      <c r="A6" s="119">
        <v>2</v>
      </c>
      <c r="B6" s="200" t="str">
        <f>"[20]合同付款摘要"</f>
        <v>[20]合同付款摘要</v>
      </c>
      <c r="C6" s="201"/>
      <c r="D6" s="202"/>
      <c r="E6" s="72"/>
    </row>
    <row r="7" spans="1:5" s="17" customFormat="1" ht="86.25" customHeight="1">
      <c r="A7" s="119">
        <v>3</v>
      </c>
      <c r="B7" s="200" t="str">
        <f>"[30]待确主要原因描述"</f>
        <v>[30]待确主要原因描述</v>
      </c>
      <c r="C7" s="201"/>
      <c r="D7" s="202"/>
      <c r="E7" s="72"/>
    </row>
    <row r="8" spans="1:5" s="17" customFormat="1" ht="86.25" customHeight="1">
      <c r="A8" s="20">
        <v>4</v>
      </c>
      <c r="B8" s="21" t="str">
        <f>"[40]待确金额"</f>
        <v>[40]待确金额</v>
      </c>
      <c r="C8" s="203"/>
      <c r="D8" s="204"/>
      <c r="E8" s="48" t="s">
        <v>399</v>
      </c>
    </row>
  </sheetData>
  <mergeCells count="3">
    <mergeCell ref="A1:E1"/>
    <mergeCell ref="C3:D3"/>
    <mergeCell ref="B2:C2"/>
  </mergeCells>
  <phoneticPr fontId="61" type="noConversion"/>
  <dataValidations count="1">
    <dataValidation type="decimal" allowBlank="1" showInputMessage="1" showErrorMessage="1" sqref="C8:D8" xr:uid="{00000000-0002-0000-0800-000000000000}">
      <formula1>-100000000000</formula1>
      <formula2>100000000000</formula2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8F88-340E-7177-C75D-FEBD23214F99}">
  <sheetPr>
    <outlinePr summaryBelow="0"/>
  </sheetPr>
  <dimension ref="A1:AQ81"/>
  <sheetViews>
    <sheetView showGridLines="0" workbookViewId="0">
      <pane xSplit="5" ySplit="6" topLeftCell="I7" activePane="bottomRight" state="frozen"/>
      <selection pane="topRight" activeCell="F1" sqref="F1"/>
      <selection pane="bottomLeft" activeCell="A7" sqref="A7"/>
      <selection pane="bottomRight" activeCell="A15" sqref="A15:AQ16"/>
    </sheetView>
  </sheetViews>
  <sheetFormatPr defaultColWidth="9" defaultRowHeight="18" customHeight="1" outlineLevelRow="2" outlineLevelCol="1"/>
  <cols>
    <col min="1" max="1" width="8.41015625" style="26" customWidth="1"/>
    <col min="2" max="2" width="23.703125" style="26" customWidth="1"/>
    <col min="3" max="3" width="10.703125" style="26" hidden="1" customWidth="1"/>
    <col min="4" max="4" width="12.1171875" style="27" hidden="1" customWidth="1"/>
    <col min="5" max="5" width="6.41015625" style="26" hidden="1" customWidth="1"/>
    <col min="6" max="6" width="15.8203125" style="28" customWidth="1" outlineLevel="1"/>
    <col min="7" max="7" width="16.8203125" style="28" customWidth="1" outlineLevel="1"/>
    <col min="8" max="8" width="13.5859375" style="28" customWidth="1" outlineLevel="1"/>
    <col min="9" max="9" width="16.3515625" style="28" customWidth="1" outlineLevel="1"/>
    <col min="10" max="11" width="12.29296875" style="28" customWidth="1" outlineLevel="1"/>
    <col min="12" max="12" width="8.5859375" style="28" customWidth="1" outlineLevel="1"/>
    <col min="13" max="13" width="8.703125" style="28" customWidth="1" outlineLevel="1"/>
    <col min="14" max="14" width="13.87890625" style="28" customWidth="1"/>
    <col min="15" max="16" width="13.5859375" style="28" customWidth="1"/>
    <col min="17" max="17" width="14.05859375" customWidth="1"/>
    <col min="18" max="22" width="13.5859375" style="28" customWidth="1"/>
    <col min="23" max="23" width="13.234375" customWidth="1"/>
    <col min="24" max="26" width="13.5859375" style="28" customWidth="1"/>
    <col min="27" max="27" width="13.05859375" customWidth="1"/>
    <col min="28" max="38" width="13.5859375" style="28" customWidth="1"/>
    <col min="39" max="41" width="13.52734375" customWidth="1"/>
    <col min="43" max="43" width="9.5859375" style="24" hidden="1" customWidth="1"/>
  </cols>
  <sheetData>
    <row r="1" spans="1:43" s="22" customFormat="1" ht="45" customHeight="1">
      <c r="A1" s="334" t="s">
        <v>400</v>
      </c>
      <c r="B1" s="334"/>
      <c r="C1" s="334"/>
      <c r="D1" s="335"/>
      <c r="E1" s="336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7"/>
    </row>
    <row r="2" spans="1:43" ht="18" customHeight="1">
      <c r="A2" s="205" t="s">
        <v>35</v>
      </c>
      <c r="B2" s="350"/>
      <c r="C2" s="350"/>
      <c r="D2" s="350"/>
      <c r="E2" s="350"/>
      <c r="F2" s="350"/>
      <c r="G2" s="350"/>
      <c r="H2" s="205" t="s">
        <v>36</v>
      </c>
      <c r="I2" s="205"/>
      <c r="J2" s="205"/>
      <c r="K2" s="205" t="s">
        <v>401</v>
      </c>
      <c r="L2" s="351"/>
      <c r="M2" s="350"/>
      <c r="N2" s="205"/>
      <c r="O2" s="205" t="s">
        <v>402</v>
      </c>
      <c r="P2" s="206">
        <f>LOOKUP(1,0/(项目收支汇总表!A5:A306="5.1"),项目收支汇总表!C5:C306)</f>
        <v>0.03</v>
      </c>
      <c r="Q2" s="87"/>
      <c r="R2" s="205"/>
      <c r="S2" s="205"/>
      <c r="T2" s="205"/>
      <c r="U2" s="205"/>
      <c r="V2" s="205"/>
      <c r="W2" s="87"/>
      <c r="X2" s="205"/>
      <c r="Y2" s="205"/>
      <c r="Z2" s="205"/>
      <c r="AA2" s="87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87"/>
      <c r="AN2" s="87"/>
      <c r="AO2" s="87"/>
      <c r="AP2" s="87"/>
      <c r="AQ2" s="207"/>
    </row>
    <row r="3" spans="1:43" s="17" customFormat="1" ht="30" customHeight="1">
      <c r="A3" s="343" t="s">
        <v>160</v>
      </c>
      <c r="B3" s="343" t="s">
        <v>403</v>
      </c>
      <c r="C3" s="344" t="s">
        <v>404</v>
      </c>
      <c r="D3" s="346" t="s">
        <v>405</v>
      </c>
      <c r="E3" s="346" t="s">
        <v>406</v>
      </c>
      <c r="F3" s="338" t="s">
        <v>407</v>
      </c>
      <c r="G3" s="338"/>
      <c r="H3" s="338"/>
      <c r="I3" s="338"/>
      <c r="J3" s="338"/>
      <c r="K3" s="338"/>
      <c r="L3" s="338"/>
      <c r="M3" s="338"/>
      <c r="N3" s="339" t="s">
        <v>408</v>
      </c>
      <c r="O3" s="339"/>
      <c r="P3" s="339"/>
      <c r="Q3" s="352" t="s">
        <v>228</v>
      </c>
      <c r="R3" s="339" t="s">
        <v>409</v>
      </c>
      <c r="S3" s="339"/>
      <c r="T3" s="339"/>
      <c r="U3" s="347" t="s">
        <v>410</v>
      </c>
      <c r="V3" s="353" t="s">
        <v>411</v>
      </c>
      <c r="W3" s="353" t="s">
        <v>411</v>
      </c>
      <c r="X3" s="338" t="s">
        <v>412</v>
      </c>
      <c r="Y3" s="338"/>
      <c r="Z3" s="340" t="s">
        <v>53</v>
      </c>
      <c r="AA3" s="340" t="s">
        <v>53</v>
      </c>
      <c r="AB3" s="340" t="s">
        <v>413</v>
      </c>
      <c r="AC3" s="340"/>
      <c r="AD3" s="340"/>
      <c r="AE3" s="341" t="s">
        <v>171</v>
      </c>
      <c r="AF3" s="341"/>
      <c r="AG3" s="341"/>
      <c r="AH3" s="341"/>
      <c r="AI3" s="341"/>
      <c r="AJ3" s="341"/>
      <c r="AK3" s="341" t="s">
        <v>414</v>
      </c>
      <c r="AL3" s="342"/>
      <c r="AM3" s="354" t="s">
        <v>415</v>
      </c>
      <c r="AN3" s="354"/>
      <c r="AO3" s="354"/>
      <c r="AP3" s="343" t="s">
        <v>108</v>
      </c>
      <c r="AQ3" s="349" t="s">
        <v>416</v>
      </c>
    </row>
    <row r="4" spans="1:43" s="17" customFormat="1" ht="57.75" customHeight="1">
      <c r="A4" s="343"/>
      <c r="B4" s="343"/>
      <c r="C4" s="345"/>
      <c r="D4" s="346"/>
      <c r="E4" s="346"/>
      <c r="F4" s="36" t="s">
        <v>417</v>
      </c>
      <c r="G4" s="118" t="s">
        <v>189</v>
      </c>
      <c r="H4" s="118" t="s">
        <v>418</v>
      </c>
      <c r="I4" s="36" t="s">
        <v>419</v>
      </c>
      <c r="J4" s="36" t="s">
        <v>420</v>
      </c>
      <c r="K4" s="36" t="s">
        <v>421</v>
      </c>
      <c r="L4" s="36" t="s">
        <v>422</v>
      </c>
      <c r="M4" s="61" t="s">
        <v>423</v>
      </c>
      <c r="N4" s="110" t="s">
        <v>233</v>
      </c>
      <c r="O4" s="36" t="s">
        <v>234</v>
      </c>
      <c r="P4" s="36" t="s">
        <v>228</v>
      </c>
      <c r="Q4" s="36" t="s">
        <v>235</v>
      </c>
      <c r="R4" s="110" t="s">
        <v>233</v>
      </c>
      <c r="S4" s="36" t="s">
        <v>234</v>
      </c>
      <c r="T4" s="36" t="s">
        <v>228</v>
      </c>
      <c r="U4" s="348"/>
      <c r="V4" s="208" t="s">
        <v>424</v>
      </c>
      <c r="W4" s="208" t="s">
        <v>425</v>
      </c>
      <c r="X4" s="36" t="s">
        <v>145</v>
      </c>
      <c r="Y4" s="36" t="s">
        <v>426</v>
      </c>
      <c r="Z4" s="36" t="s">
        <v>427</v>
      </c>
      <c r="AA4" s="208" t="s">
        <v>425</v>
      </c>
      <c r="AB4" s="36" t="s">
        <v>238</v>
      </c>
      <c r="AC4" s="36" t="s">
        <v>239</v>
      </c>
      <c r="AD4" s="36" t="s">
        <v>240</v>
      </c>
      <c r="AE4" s="36" t="s">
        <v>428</v>
      </c>
      <c r="AF4" s="36" t="s">
        <v>429</v>
      </c>
      <c r="AG4" s="36" t="s">
        <v>430</v>
      </c>
      <c r="AH4" s="209" t="s">
        <v>431</v>
      </c>
      <c r="AI4" s="36" t="s">
        <v>432</v>
      </c>
      <c r="AJ4" s="61" t="s">
        <v>433</v>
      </c>
      <c r="AK4" s="145" t="s">
        <v>434</v>
      </c>
      <c r="AL4" s="145" t="s">
        <v>435</v>
      </c>
      <c r="AM4" s="146" t="s">
        <v>436</v>
      </c>
      <c r="AN4" s="146" t="s">
        <v>437</v>
      </c>
      <c r="AO4" s="146" t="s">
        <v>438</v>
      </c>
      <c r="AP4" s="343"/>
      <c r="AQ4" s="349"/>
    </row>
    <row r="5" spans="1:43" s="23" customFormat="1" ht="27" customHeight="1">
      <c r="A5" s="98"/>
      <c r="B5" s="102" t="s">
        <v>293</v>
      </c>
      <c r="C5" s="102"/>
      <c r="D5" s="102"/>
      <c r="E5" s="102"/>
      <c r="F5" s="36"/>
      <c r="G5" s="36"/>
      <c r="H5" s="36"/>
      <c r="I5" s="36"/>
      <c r="J5" s="36"/>
      <c r="K5" s="36"/>
      <c r="L5" s="36"/>
      <c r="M5" s="36"/>
      <c r="N5" s="36">
        <v>1.1000000000000001</v>
      </c>
      <c r="O5" s="36">
        <v>1.2</v>
      </c>
      <c r="P5" s="36" t="s">
        <v>294</v>
      </c>
      <c r="Q5" s="36" t="s">
        <v>439</v>
      </c>
      <c r="R5" s="36">
        <v>1.4</v>
      </c>
      <c r="S5" s="36">
        <v>1.5</v>
      </c>
      <c r="T5" s="36" t="s">
        <v>297</v>
      </c>
      <c r="U5" s="37" t="s">
        <v>440</v>
      </c>
      <c r="V5" s="210">
        <v>2.1</v>
      </c>
      <c r="W5" s="210">
        <v>2.2000000000000002</v>
      </c>
      <c r="X5" s="36">
        <v>3.1</v>
      </c>
      <c r="Y5" s="36" t="s">
        <v>441</v>
      </c>
      <c r="Z5" s="36" t="s">
        <v>442</v>
      </c>
      <c r="AA5" s="36" t="s">
        <v>443</v>
      </c>
      <c r="AB5" s="36" t="s">
        <v>444</v>
      </c>
      <c r="AC5" s="36" t="s">
        <v>445</v>
      </c>
      <c r="AD5" s="36" t="s">
        <v>446</v>
      </c>
      <c r="AE5" s="118">
        <v>6.1</v>
      </c>
      <c r="AF5" s="36">
        <v>6.2</v>
      </c>
      <c r="AG5" s="36">
        <v>6.3</v>
      </c>
      <c r="AH5" s="209" t="s">
        <v>447</v>
      </c>
      <c r="AI5" s="36">
        <v>6.5</v>
      </c>
      <c r="AJ5" s="36" t="s">
        <v>448</v>
      </c>
      <c r="AK5" s="36">
        <v>7.1</v>
      </c>
      <c r="AL5" s="36">
        <v>7.2</v>
      </c>
      <c r="AM5" s="211">
        <v>8.1</v>
      </c>
      <c r="AN5" s="211">
        <v>8.1999999999999993</v>
      </c>
      <c r="AO5" s="211">
        <v>8.3000000000000007</v>
      </c>
      <c r="AP5" s="98"/>
      <c r="AQ5" s="29"/>
    </row>
    <row r="6" spans="1:43" s="23" customFormat="1" ht="27" hidden="1" customHeight="1">
      <c r="A6" s="98"/>
      <c r="B6" s="102"/>
      <c r="C6" s="102"/>
      <c r="D6" s="102"/>
      <c r="E6" s="102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212"/>
      <c r="R6" s="36"/>
      <c r="S6" s="36"/>
      <c r="T6" s="36"/>
      <c r="U6" s="37"/>
      <c r="V6" s="210"/>
      <c r="W6" s="210"/>
      <c r="X6" s="36"/>
      <c r="Y6" s="36"/>
      <c r="Z6" s="36"/>
      <c r="AA6" s="36"/>
      <c r="AB6" s="36"/>
      <c r="AC6" s="36"/>
      <c r="AD6" s="36"/>
      <c r="AE6" s="118"/>
      <c r="AF6" s="36"/>
      <c r="AG6" s="36"/>
      <c r="AH6" s="209"/>
      <c r="AI6" s="36"/>
      <c r="AJ6" s="36"/>
      <c r="AK6" s="36"/>
      <c r="AL6" s="36"/>
      <c r="AM6" s="213"/>
      <c r="AN6" s="213"/>
      <c r="AO6" s="213"/>
      <c r="AP6" s="98"/>
      <c r="AQ6" s="29"/>
    </row>
    <row r="7" spans="1:43" s="24" customFormat="1" ht="20.25" customHeight="1">
      <c r="A7" s="214" t="s">
        <v>449</v>
      </c>
      <c r="B7" s="215" t="s">
        <v>450</v>
      </c>
      <c r="C7" s="216" t="s">
        <v>451</v>
      </c>
      <c r="D7" s="217"/>
      <c r="E7" s="218">
        <v>1</v>
      </c>
      <c r="F7" s="219"/>
      <c r="G7" s="219"/>
      <c r="H7" s="219"/>
      <c r="I7" s="219"/>
      <c r="J7" s="220">
        <f>J8+J11+J14+J17+J20+J23+J26</f>
        <v>0</v>
      </c>
      <c r="K7" s="221"/>
      <c r="L7" s="221"/>
      <c r="M7" s="221"/>
      <c r="N7" s="220">
        <f>N8+N11+N14+N17+N20+N23+N26</f>
        <v>0</v>
      </c>
      <c r="O7" s="220">
        <f>O8+O11+O14+O17+O20+O23+O26</f>
        <v>0</v>
      </c>
      <c r="P7" s="220">
        <f t="shared" ref="P7:P29" si="0">N7+O7</f>
        <v>0</v>
      </c>
      <c r="Q7" s="220">
        <f>Q8+Q11+Q14+Q17+Q20+Q23+Q26</f>
        <v>0</v>
      </c>
      <c r="R7" s="220">
        <f>R8+R11+R14+R17+R20+R23+R26</f>
        <v>0</v>
      </c>
      <c r="S7" s="220">
        <f>S8+S11+S14+S17+S20+S23+S26</f>
        <v>0</v>
      </c>
      <c r="T7" s="220">
        <f t="shared" ref="T7:T29" si="1">R7+S7</f>
        <v>0</v>
      </c>
      <c r="U7" s="221" t="e">
        <f t="shared" ref="U7:U38" si="2">N7/P7</f>
        <v>#DIV/0!</v>
      </c>
      <c r="V7" s="220">
        <f>V8+V11+V14+V17+V20+V23+V26</f>
        <v>0</v>
      </c>
      <c r="W7" s="220">
        <f>W8+W11+W14+W17+W20+W23+W26</f>
        <v>0</v>
      </c>
      <c r="X7" s="220">
        <f>X8+X11+X14+X17+X20+X23+X26</f>
        <v>0</v>
      </c>
      <c r="Y7" s="221" t="e">
        <f t="shared" ref="Y7:Y38" si="3">X7/N7</f>
        <v>#DIV/0!</v>
      </c>
      <c r="Z7" s="220">
        <f t="shared" ref="Z7:Z38" si="4">V7-X7</f>
        <v>0</v>
      </c>
      <c r="AA7" s="220">
        <f>AA8+AA11+AA14+AA17+AA20+AA23+AA26</f>
        <v>0</v>
      </c>
      <c r="AB7" s="220">
        <f>AB8+AB11+AB14+AB17+AB20+AB23+AB26</f>
        <v>0</v>
      </c>
      <c r="AC7" s="220">
        <f>AC8+AC11+AC14+AC17+AC20+AC23+AC26</f>
        <v>0</v>
      </c>
      <c r="AD7" s="220">
        <f t="shared" ref="AD7:AD38" si="5">AB7+AC7</f>
        <v>0</v>
      </c>
      <c r="AE7" s="222"/>
      <c r="AF7" s="222"/>
      <c r="AG7" s="220">
        <f>AG8+AG11+AG14+AG17+AG20+AG23+AG26</f>
        <v>0</v>
      </c>
      <c r="AH7" s="221" t="e">
        <f t="shared" ref="AH7:AH38" si="6">(X7+AG7)/N7</f>
        <v>#DIV/0!</v>
      </c>
      <c r="AI7" s="220">
        <f>AI8+AI11+AI14+AI17+AI20+AI23+AI26</f>
        <v>0</v>
      </c>
      <c r="AJ7" s="221" t="e">
        <f t="shared" ref="AJ7:AJ38" si="7">(X7+AI7)/N7</f>
        <v>#DIV/0!</v>
      </c>
      <c r="AK7" s="220">
        <f>AK8+AK11+AK14+AK17+AK20+AK23+AK26</f>
        <v>0</v>
      </c>
      <c r="AL7" s="220">
        <f>AL8+AL11+AL14+AL17+AL20+AL23+AL26</f>
        <v>0</v>
      </c>
      <c r="AM7" s="223"/>
      <c r="AN7" s="224">
        <f>AN8+AN11+AN14+AN17+AN20+AN23+AN26</f>
        <v>0</v>
      </c>
      <c r="AO7" s="223"/>
      <c r="AP7" s="225"/>
      <c r="AQ7" s="38"/>
    </row>
    <row r="8" spans="1:43" s="24" customFormat="1" ht="20.25" customHeight="1" outlineLevel="1" collapsed="1">
      <c r="A8" s="226">
        <v>1</v>
      </c>
      <c r="B8" s="227" t="s">
        <v>269</v>
      </c>
      <c r="C8" s="228" t="s">
        <v>452</v>
      </c>
      <c r="D8" s="229" t="s">
        <v>453</v>
      </c>
      <c r="E8" s="147">
        <v>2</v>
      </c>
      <c r="F8" s="230"/>
      <c r="G8" s="230"/>
      <c r="H8" s="230"/>
      <c r="I8" s="230"/>
      <c r="J8" s="231">
        <f>SUMIF($C9:$C10,$C8&amp;":*",J9:J10)</f>
        <v>0</v>
      </c>
      <c r="K8" s="230"/>
      <c r="L8" s="230"/>
      <c r="M8" s="230"/>
      <c r="N8" s="231">
        <f>SUMIF($C9:$C10,$C8&amp;":*",N9:N10)</f>
        <v>0</v>
      </c>
      <c r="O8" s="231">
        <f>SUMIF($C9:$C10,$C8&amp;":*",O9:O10)</f>
        <v>0</v>
      </c>
      <c r="P8" s="231">
        <f t="shared" si="0"/>
        <v>0</v>
      </c>
      <c r="Q8" s="232">
        <f>SUMIF($C9:$C10,$C8&amp;":*",Q9:Q10)</f>
        <v>0</v>
      </c>
      <c r="R8" s="231">
        <f>SUMIF($C9:$C10,$C8&amp;":*",R9:R10)</f>
        <v>0</v>
      </c>
      <c r="S8" s="231">
        <f>SUMIF($C9:$C10,$C8&amp;":*",S9:S10)</f>
        <v>0</v>
      </c>
      <c r="T8" s="231">
        <f t="shared" si="1"/>
        <v>0</v>
      </c>
      <c r="U8" s="151" t="e">
        <f t="shared" si="2"/>
        <v>#DIV/0!</v>
      </c>
      <c r="V8" s="232">
        <f>SUMIF($C9:$C10,$C8&amp;":*",V9:V10)</f>
        <v>0</v>
      </c>
      <c r="W8" s="232">
        <f>SUMIF($C9:$C10,$C8&amp;":*",W9:W10)</f>
        <v>0</v>
      </c>
      <c r="X8" s="232">
        <f>SUMIF($C9:$C10,$C8&amp;":*",X9:X10)</f>
        <v>0</v>
      </c>
      <c r="Y8" s="151" t="e">
        <f t="shared" si="3"/>
        <v>#DIV/0!</v>
      </c>
      <c r="Z8" s="233">
        <f t="shared" si="4"/>
        <v>0</v>
      </c>
      <c r="AA8" s="232">
        <f>SUMIF($C9:$C10,$C8&amp;":*",AA9:AA10)</f>
        <v>0</v>
      </c>
      <c r="AB8" s="232">
        <f>SUM(AB9:AB10)</f>
        <v>0</v>
      </c>
      <c r="AC8" s="232">
        <f t="shared" ref="AC8:AC14" si="8">O8</f>
        <v>0</v>
      </c>
      <c r="AD8" s="233">
        <f t="shared" si="5"/>
        <v>0</v>
      </c>
      <c r="AE8" s="234"/>
      <c r="AF8" s="234"/>
      <c r="AG8" s="231">
        <f>SUMIF($C9:$C10,$C8&amp;":*",AG9:AG10)</f>
        <v>0</v>
      </c>
      <c r="AH8" s="151" t="e">
        <f t="shared" si="6"/>
        <v>#DIV/0!</v>
      </c>
      <c r="AI8" s="231">
        <f>SUMIF($C9:$C10,$C8&amp;":*",AI9:AI10)</f>
        <v>0</v>
      </c>
      <c r="AJ8" s="151" t="e">
        <f t="shared" si="7"/>
        <v>#DIV/0!</v>
      </c>
      <c r="AK8" s="231">
        <f>SUMIF($C9:$C10,$C8&amp;":*",AK9:AK10)</f>
        <v>0</v>
      </c>
      <c r="AL8" s="231">
        <f>SUMIF($C9:$C10,$C8&amp;":*",AL9:AL10)</f>
        <v>0</v>
      </c>
      <c r="AM8" s="235"/>
      <c r="AN8" s="232">
        <f>SUMIF($C9:$C10,$C8&amp;":*",AN9:AN10)</f>
        <v>0</v>
      </c>
      <c r="AO8" s="235"/>
      <c r="AP8" s="236"/>
      <c r="AQ8" s="39"/>
    </row>
    <row r="9" spans="1:43" s="24" customFormat="1" ht="20.25" hidden="1" customHeight="1" outlineLevel="2">
      <c r="A9" s="237" t="s">
        <v>454</v>
      </c>
      <c r="B9" s="238" t="s">
        <v>455</v>
      </c>
      <c r="C9" s="239" t="s">
        <v>456</v>
      </c>
      <c r="D9" s="240" t="s">
        <v>453</v>
      </c>
      <c r="E9" s="240">
        <v>3</v>
      </c>
      <c r="F9" s="241"/>
      <c r="G9" s="241"/>
      <c r="H9" s="241"/>
      <c r="I9" s="241"/>
      <c r="J9" s="194"/>
      <c r="K9" s="241"/>
      <c r="L9" s="241"/>
      <c r="M9" s="241"/>
      <c r="N9" s="242"/>
      <c r="O9" s="242"/>
      <c r="P9" s="101">
        <f t="shared" si="0"/>
        <v>0</v>
      </c>
      <c r="Q9" s="194"/>
      <c r="R9" s="242"/>
      <c r="S9" s="242"/>
      <c r="T9" s="101">
        <f t="shared" si="1"/>
        <v>0</v>
      </c>
      <c r="U9" s="243" t="e">
        <f t="shared" si="2"/>
        <v>#DIV/0!</v>
      </c>
      <c r="V9" s="194">
        <f>N9*K9</f>
        <v>0</v>
      </c>
      <c r="W9" s="194"/>
      <c r="X9" s="244"/>
      <c r="Y9" s="243" t="e">
        <f t="shared" si="3"/>
        <v>#DIV/0!</v>
      </c>
      <c r="Z9" s="244">
        <f t="shared" si="4"/>
        <v>0</v>
      </c>
      <c r="AA9" s="244">
        <f>IF(W9-X9&gt;0,W9-X9,0)</f>
        <v>0</v>
      </c>
      <c r="AB9" s="244">
        <f>IF(G9="内部调拨",0,N9-X9)</f>
        <v>0</v>
      </c>
      <c r="AC9" s="244">
        <f t="shared" si="8"/>
        <v>0</v>
      </c>
      <c r="AD9" s="244">
        <f t="shared" si="5"/>
        <v>0</v>
      </c>
      <c r="AE9" s="245"/>
      <c r="AF9" s="245"/>
      <c r="AG9" s="242"/>
      <c r="AH9" s="243" t="e">
        <f t="shared" si="6"/>
        <v>#DIV/0!</v>
      </c>
      <c r="AI9" s="244"/>
      <c r="AJ9" s="243" t="e">
        <f t="shared" si="7"/>
        <v>#DIV/0!</v>
      </c>
      <c r="AK9" s="242"/>
      <c r="AL9" s="242"/>
      <c r="AM9" s="246"/>
      <c r="AN9" s="247"/>
      <c r="AO9" s="248"/>
      <c r="AP9" s="249"/>
      <c r="AQ9" s="40"/>
    </row>
    <row r="10" spans="1:43" s="24" customFormat="1" ht="20.25" hidden="1" customHeight="1" outlineLevel="2">
      <c r="A10" s="237" t="s">
        <v>457</v>
      </c>
      <c r="B10" s="238" t="s">
        <v>455</v>
      </c>
      <c r="C10" s="239" t="s">
        <v>456</v>
      </c>
      <c r="D10" s="240" t="s">
        <v>453</v>
      </c>
      <c r="E10" s="240">
        <v>3</v>
      </c>
      <c r="F10" s="241"/>
      <c r="G10" s="241"/>
      <c r="H10" s="241"/>
      <c r="I10" s="241"/>
      <c r="J10" s="194"/>
      <c r="K10" s="241"/>
      <c r="L10" s="241"/>
      <c r="M10" s="241"/>
      <c r="N10" s="242"/>
      <c r="O10" s="242"/>
      <c r="P10" s="101">
        <f t="shared" si="0"/>
        <v>0</v>
      </c>
      <c r="Q10" s="194"/>
      <c r="R10" s="242"/>
      <c r="S10" s="242"/>
      <c r="T10" s="101">
        <f t="shared" si="1"/>
        <v>0</v>
      </c>
      <c r="U10" s="243" t="e">
        <f t="shared" si="2"/>
        <v>#DIV/0!</v>
      </c>
      <c r="V10" s="194">
        <f>N10*K10</f>
        <v>0</v>
      </c>
      <c r="W10" s="194"/>
      <c r="X10" s="244"/>
      <c r="Y10" s="243" t="e">
        <f t="shared" si="3"/>
        <v>#DIV/0!</v>
      </c>
      <c r="Z10" s="244">
        <f t="shared" si="4"/>
        <v>0</v>
      </c>
      <c r="AA10" s="244">
        <f>IF(W10-X10&gt;0,W10-X10,0)</f>
        <v>0</v>
      </c>
      <c r="AB10" s="244">
        <f>IF(G10="内部调拨",0,N10-X10)</f>
        <v>0</v>
      </c>
      <c r="AC10" s="244">
        <f t="shared" si="8"/>
        <v>0</v>
      </c>
      <c r="AD10" s="244">
        <f t="shared" si="5"/>
        <v>0</v>
      </c>
      <c r="AE10" s="245"/>
      <c r="AF10" s="245"/>
      <c r="AG10" s="242"/>
      <c r="AH10" s="243" t="e">
        <f t="shared" si="6"/>
        <v>#DIV/0!</v>
      </c>
      <c r="AI10" s="244"/>
      <c r="AJ10" s="243" t="e">
        <f t="shared" si="7"/>
        <v>#DIV/0!</v>
      </c>
      <c r="AK10" s="242"/>
      <c r="AL10" s="242"/>
      <c r="AM10" s="246"/>
      <c r="AN10" s="247"/>
      <c r="AO10" s="248"/>
      <c r="AP10" s="249"/>
      <c r="AQ10" s="40"/>
    </row>
    <row r="11" spans="1:43" s="24" customFormat="1" ht="20.25" customHeight="1" outlineLevel="1" collapsed="1">
      <c r="A11" s="226">
        <v>2</v>
      </c>
      <c r="B11" s="227" t="s">
        <v>270</v>
      </c>
      <c r="C11" s="228" t="s">
        <v>458</v>
      </c>
      <c r="D11" s="229" t="s">
        <v>270</v>
      </c>
      <c r="E11" s="147">
        <v>2</v>
      </c>
      <c r="F11" s="230"/>
      <c r="G11" s="230"/>
      <c r="H11" s="230"/>
      <c r="I11" s="230"/>
      <c r="J11" s="231">
        <f>SUMIF($C12:$C13,$C11&amp;":*",J12:J13)</f>
        <v>0</v>
      </c>
      <c r="K11" s="230"/>
      <c r="L11" s="230"/>
      <c r="M11" s="230"/>
      <c r="N11" s="231">
        <f>SUMIF($C12:$C13,$C11&amp;":*",N12:N13)</f>
        <v>0</v>
      </c>
      <c r="O11" s="231">
        <f>SUMIF($C12:$C13,$C11&amp;":*",O12:O13)</f>
        <v>0</v>
      </c>
      <c r="P11" s="231">
        <f t="shared" si="0"/>
        <v>0</v>
      </c>
      <c r="Q11" s="232">
        <f>SUMIF($C12:$C13,$C11&amp;":*",Q12:Q13)</f>
        <v>0</v>
      </c>
      <c r="R11" s="231">
        <f>SUMIF($C12:$C13,$C11&amp;":*",R12:R13)</f>
        <v>0</v>
      </c>
      <c r="S11" s="231">
        <f>SUMIF($C12:$C13,$C11&amp;":*",S12:S13)</f>
        <v>0</v>
      </c>
      <c r="T11" s="231">
        <f t="shared" si="1"/>
        <v>0</v>
      </c>
      <c r="U11" s="151" t="e">
        <f t="shared" si="2"/>
        <v>#DIV/0!</v>
      </c>
      <c r="V11" s="232">
        <f>SUMIF($C12:$C13,$C11&amp;":*",V12:V13)</f>
        <v>0</v>
      </c>
      <c r="W11" s="232">
        <f>SUMIF($C12:$C13,$C11&amp;":*",W12:W13)</f>
        <v>0</v>
      </c>
      <c r="X11" s="232">
        <f>SUMIF($C12:$C13,$C11&amp;":*",X12:X13)</f>
        <v>0</v>
      </c>
      <c r="Y11" s="151" t="e">
        <f t="shared" si="3"/>
        <v>#DIV/0!</v>
      </c>
      <c r="Z11" s="233">
        <f t="shared" si="4"/>
        <v>0</v>
      </c>
      <c r="AA11" s="232">
        <f>SUMIF($C12:$C13,$C11&amp;":*",AA12:AA13)</f>
        <v>0</v>
      </c>
      <c r="AB11" s="232">
        <f>SUM(AB12:AB13)</f>
        <v>0</v>
      </c>
      <c r="AC11" s="232">
        <f t="shared" si="8"/>
        <v>0</v>
      </c>
      <c r="AD11" s="233">
        <f t="shared" si="5"/>
        <v>0</v>
      </c>
      <c r="AE11" s="234"/>
      <c r="AF11" s="234"/>
      <c r="AG11" s="231">
        <f>SUMIF($C12:$C13,$C11&amp;":*",AG12:AG13)</f>
        <v>0</v>
      </c>
      <c r="AH11" s="151" t="e">
        <f t="shared" si="6"/>
        <v>#DIV/0!</v>
      </c>
      <c r="AI11" s="231">
        <f>SUMIF($C12:$C13,$C11&amp;":*",AI12:AI13)</f>
        <v>0</v>
      </c>
      <c r="AJ11" s="151" t="e">
        <f t="shared" si="7"/>
        <v>#DIV/0!</v>
      </c>
      <c r="AK11" s="231">
        <f>SUMIF($C12:$C13,$C11&amp;":*",AK12:AK13)</f>
        <v>0</v>
      </c>
      <c r="AL11" s="231">
        <f>SUMIF($C12:$C13,$C11&amp;":*",AL12:AL13)</f>
        <v>0</v>
      </c>
      <c r="AM11" s="235"/>
      <c r="AN11" s="232">
        <f>SUMIF($C12:$C13,$C11&amp;":*",AN12:AN13)</f>
        <v>0</v>
      </c>
      <c r="AO11" s="235"/>
      <c r="AP11" s="236"/>
      <c r="AQ11" s="39"/>
    </row>
    <row r="12" spans="1:43" s="24" customFormat="1" ht="20.25" hidden="1" customHeight="1" outlineLevel="2">
      <c r="A12" s="237" t="s">
        <v>459</v>
      </c>
      <c r="B12" s="238" t="s">
        <v>455</v>
      </c>
      <c r="C12" s="250" t="s">
        <v>460</v>
      </c>
      <c r="D12" s="251" t="s">
        <v>270</v>
      </c>
      <c r="E12" s="240">
        <v>3</v>
      </c>
      <c r="F12" s="241"/>
      <c r="G12" s="241"/>
      <c r="H12" s="241"/>
      <c r="I12" s="241"/>
      <c r="J12" s="194"/>
      <c r="K12" s="241"/>
      <c r="L12" s="241"/>
      <c r="M12" s="241"/>
      <c r="N12" s="242"/>
      <c r="O12" s="242"/>
      <c r="P12" s="101">
        <f t="shared" si="0"/>
        <v>0</v>
      </c>
      <c r="Q12" s="194"/>
      <c r="R12" s="242"/>
      <c r="S12" s="242"/>
      <c r="T12" s="101">
        <f t="shared" si="1"/>
        <v>0</v>
      </c>
      <c r="U12" s="243" t="e">
        <f t="shared" si="2"/>
        <v>#DIV/0!</v>
      </c>
      <c r="V12" s="194">
        <f>N12*K12</f>
        <v>0</v>
      </c>
      <c r="W12" s="194"/>
      <c r="X12" s="244"/>
      <c r="Y12" s="243" t="e">
        <f t="shared" si="3"/>
        <v>#DIV/0!</v>
      </c>
      <c r="Z12" s="244">
        <f t="shared" si="4"/>
        <v>0</v>
      </c>
      <c r="AA12" s="244">
        <f>IF(W12-X12&gt;0,W12-X12,0)</f>
        <v>0</v>
      </c>
      <c r="AB12" s="244">
        <f>IF(G12="内部调拨",0,N12-X12)</f>
        <v>0</v>
      </c>
      <c r="AC12" s="244">
        <f t="shared" si="8"/>
        <v>0</v>
      </c>
      <c r="AD12" s="244">
        <f t="shared" si="5"/>
        <v>0</v>
      </c>
      <c r="AE12" s="245"/>
      <c r="AF12" s="245"/>
      <c r="AG12" s="242"/>
      <c r="AH12" s="243" t="e">
        <f t="shared" si="6"/>
        <v>#DIV/0!</v>
      </c>
      <c r="AI12" s="244"/>
      <c r="AJ12" s="243" t="e">
        <f t="shared" si="7"/>
        <v>#DIV/0!</v>
      </c>
      <c r="AK12" s="242"/>
      <c r="AL12" s="242"/>
      <c r="AM12" s="246"/>
      <c r="AN12" s="247"/>
      <c r="AO12" s="248"/>
      <c r="AP12" s="249"/>
      <c r="AQ12" s="40"/>
    </row>
    <row r="13" spans="1:43" s="24" customFormat="1" ht="20.25" hidden="1" customHeight="1" outlineLevel="2">
      <c r="A13" s="237" t="s">
        <v>461</v>
      </c>
      <c r="B13" s="238" t="s">
        <v>455</v>
      </c>
      <c r="C13" s="250" t="s">
        <v>460</v>
      </c>
      <c r="D13" s="251" t="s">
        <v>270</v>
      </c>
      <c r="E13" s="240">
        <v>3</v>
      </c>
      <c r="F13" s="241"/>
      <c r="G13" s="241"/>
      <c r="H13" s="241"/>
      <c r="I13" s="241"/>
      <c r="J13" s="194"/>
      <c r="K13" s="241"/>
      <c r="L13" s="241"/>
      <c r="M13" s="241"/>
      <c r="N13" s="242"/>
      <c r="O13" s="242"/>
      <c r="P13" s="101">
        <f t="shared" si="0"/>
        <v>0</v>
      </c>
      <c r="Q13" s="194"/>
      <c r="R13" s="242"/>
      <c r="S13" s="242"/>
      <c r="T13" s="101">
        <f t="shared" si="1"/>
        <v>0</v>
      </c>
      <c r="U13" s="243" t="e">
        <f t="shared" si="2"/>
        <v>#DIV/0!</v>
      </c>
      <c r="V13" s="194">
        <f>N13*K13</f>
        <v>0</v>
      </c>
      <c r="W13" s="194"/>
      <c r="X13" s="244"/>
      <c r="Y13" s="243" t="e">
        <f t="shared" si="3"/>
        <v>#DIV/0!</v>
      </c>
      <c r="Z13" s="244">
        <f t="shared" si="4"/>
        <v>0</v>
      </c>
      <c r="AA13" s="244">
        <f>IF(W13-X13&gt;0,W13-X13,0)</f>
        <v>0</v>
      </c>
      <c r="AB13" s="244">
        <f>IF(G13="内部调拨",0,N13-X13)</f>
        <v>0</v>
      </c>
      <c r="AC13" s="244">
        <f t="shared" si="8"/>
        <v>0</v>
      </c>
      <c r="AD13" s="244">
        <f t="shared" si="5"/>
        <v>0</v>
      </c>
      <c r="AE13" s="245"/>
      <c r="AF13" s="245"/>
      <c r="AG13" s="242"/>
      <c r="AH13" s="243" t="e">
        <f t="shared" si="6"/>
        <v>#DIV/0!</v>
      </c>
      <c r="AI13" s="244"/>
      <c r="AJ13" s="243" t="e">
        <f t="shared" si="7"/>
        <v>#DIV/0!</v>
      </c>
      <c r="AK13" s="242"/>
      <c r="AL13" s="242"/>
      <c r="AM13" s="246"/>
      <c r="AN13" s="247"/>
      <c r="AO13" s="248"/>
      <c r="AP13" s="249"/>
      <c r="AQ13" s="40"/>
    </row>
    <row r="14" spans="1:43" s="24" customFormat="1" ht="20.25" customHeight="1" outlineLevel="1" collapsed="1">
      <c r="A14" s="226">
        <v>3</v>
      </c>
      <c r="B14" s="227" t="s">
        <v>271</v>
      </c>
      <c r="C14" s="228" t="s">
        <v>462</v>
      </c>
      <c r="D14" s="229" t="s">
        <v>271</v>
      </c>
      <c r="E14" s="147">
        <v>2</v>
      </c>
      <c r="F14" s="230"/>
      <c r="G14" s="230"/>
      <c r="H14" s="230"/>
      <c r="I14" s="230"/>
      <c r="J14" s="231">
        <f>SUMIF($C15:$C16,$C14&amp;":*",J15:J16)</f>
        <v>0</v>
      </c>
      <c r="K14" s="230"/>
      <c r="L14" s="230"/>
      <c r="M14" s="230"/>
      <c r="N14" s="231">
        <f>SUMIF($C15:$C16,$C14&amp;":*",N15:N16)</f>
        <v>0</v>
      </c>
      <c r="O14" s="231">
        <f>SUMIF($C15:$C16,$C14&amp;":*",O15:O16)</f>
        <v>0</v>
      </c>
      <c r="P14" s="231">
        <f t="shared" si="0"/>
        <v>0</v>
      </c>
      <c r="Q14" s="232">
        <f>SUMIF($C15:$C16,$C14&amp;":*",Q15:Q16)</f>
        <v>0</v>
      </c>
      <c r="R14" s="231">
        <f>SUMIF($C15:$C16,$C14&amp;":*",R15:R16)</f>
        <v>0</v>
      </c>
      <c r="S14" s="231">
        <f>SUMIF($C15:$C16,$C14&amp;":*",S15:S16)</f>
        <v>0</v>
      </c>
      <c r="T14" s="231">
        <f t="shared" si="1"/>
        <v>0</v>
      </c>
      <c r="U14" s="151" t="e">
        <f t="shared" si="2"/>
        <v>#DIV/0!</v>
      </c>
      <c r="V14" s="232">
        <f>SUMIF($C15:$C16,$C14&amp;":*",V15:V16)</f>
        <v>0</v>
      </c>
      <c r="W14" s="232">
        <f>SUMIF($C15:$C16,$C14&amp;":*",W15:W16)</f>
        <v>0</v>
      </c>
      <c r="X14" s="232">
        <f>SUMIF($C15:$C16,$C14&amp;":*",X15:X16)</f>
        <v>0</v>
      </c>
      <c r="Y14" s="151" t="e">
        <f t="shared" si="3"/>
        <v>#DIV/0!</v>
      </c>
      <c r="Z14" s="233">
        <f t="shared" si="4"/>
        <v>0</v>
      </c>
      <c r="AA14" s="232">
        <f>SUMIF($C15:$C16,$C14&amp;":*",AA15:AA16)</f>
        <v>0</v>
      </c>
      <c r="AB14" s="232">
        <f>SUM(AB15:AB16)</f>
        <v>0</v>
      </c>
      <c r="AC14" s="232">
        <f t="shared" si="8"/>
        <v>0</v>
      </c>
      <c r="AD14" s="233">
        <f t="shared" si="5"/>
        <v>0</v>
      </c>
      <c r="AE14" s="234"/>
      <c r="AF14" s="234"/>
      <c r="AG14" s="231">
        <f>SUMIF($C15:$C16,$C14&amp;":*",AG15:AG16)</f>
        <v>0</v>
      </c>
      <c r="AH14" s="151" t="e">
        <f t="shared" si="6"/>
        <v>#DIV/0!</v>
      </c>
      <c r="AI14" s="231">
        <f>SUMIF($C15:$C16,$C14&amp;":*",AI15:AI16)</f>
        <v>0</v>
      </c>
      <c r="AJ14" s="151" t="e">
        <f t="shared" si="7"/>
        <v>#DIV/0!</v>
      </c>
      <c r="AK14" s="231">
        <f>SUMIF($C15:$C16,$C14&amp;":*",AK15:AK16)</f>
        <v>0</v>
      </c>
      <c r="AL14" s="231">
        <f>SUMIF($C15:$C16,$C14&amp;":*",AL15:AL16)</f>
        <v>0</v>
      </c>
      <c r="AM14" s="235"/>
      <c r="AN14" s="232">
        <f>SUMIF($C15:$C16,$C14&amp;":*",AN15:AN16)</f>
        <v>0</v>
      </c>
      <c r="AO14" s="235"/>
      <c r="AP14" s="236"/>
      <c r="AQ14" s="39"/>
    </row>
    <row r="15" spans="1:43" s="24" customFormat="1" ht="20.25" hidden="1" customHeight="1" outlineLevel="2">
      <c r="A15" s="237" t="s">
        <v>463</v>
      </c>
      <c r="B15" s="238" t="s">
        <v>455</v>
      </c>
      <c r="C15" s="252" t="s">
        <v>464</v>
      </c>
      <c r="D15" s="251" t="s">
        <v>271</v>
      </c>
      <c r="E15" s="240">
        <v>3</v>
      </c>
      <c r="F15" s="241"/>
      <c r="G15" s="241"/>
      <c r="H15" s="241"/>
      <c r="I15" s="241"/>
      <c r="J15" s="194"/>
      <c r="K15" s="241"/>
      <c r="L15" s="241"/>
      <c r="M15" s="241"/>
      <c r="N15" s="242"/>
      <c r="O15" s="242"/>
      <c r="P15" s="101">
        <f t="shared" si="0"/>
        <v>0</v>
      </c>
      <c r="Q15" s="194"/>
      <c r="R15" s="242"/>
      <c r="S15" s="242"/>
      <c r="T15" s="101">
        <f t="shared" si="1"/>
        <v>0</v>
      </c>
      <c r="U15" s="243" t="e">
        <f t="shared" si="2"/>
        <v>#DIV/0!</v>
      </c>
      <c r="V15" s="194">
        <f>N15*K15</f>
        <v>0</v>
      </c>
      <c r="W15" s="194"/>
      <c r="X15" s="244"/>
      <c r="Y15" s="243" t="e">
        <f t="shared" si="3"/>
        <v>#DIV/0!</v>
      </c>
      <c r="Z15" s="244">
        <f t="shared" si="4"/>
        <v>0</v>
      </c>
      <c r="AA15" s="244">
        <f>IF(W15-X15&gt;0,W15-X15,0)</f>
        <v>0</v>
      </c>
      <c r="AB15" s="244">
        <f>IF(G15="内部调拨",0,N15-X15)</f>
        <v>0</v>
      </c>
      <c r="AC15" s="244">
        <f>IF(G15="内部调拨",0,O15)</f>
        <v>0</v>
      </c>
      <c r="AD15" s="244">
        <f t="shared" si="5"/>
        <v>0</v>
      </c>
      <c r="AE15" s="245"/>
      <c r="AF15" s="245"/>
      <c r="AG15" s="242"/>
      <c r="AH15" s="243" t="e">
        <f t="shared" si="6"/>
        <v>#DIV/0!</v>
      </c>
      <c r="AI15" s="244"/>
      <c r="AJ15" s="243" t="e">
        <f t="shared" si="7"/>
        <v>#DIV/0!</v>
      </c>
      <c r="AK15" s="242"/>
      <c r="AL15" s="242"/>
      <c r="AM15" s="246"/>
      <c r="AN15" s="247"/>
      <c r="AO15" s="248"/>
      <c r="AP15" s="249"/>
      <c r="AQ15" s="40"/>
    </row>
    <row r="16" spans="1:43" s="24" customFormat="1" ht="20.25" hidden="1" customHeight="1" outlineLevel="2">
      <c r="A16" s="237" t="s">
        <v>465</v>
      </c>
      <c r="B16" s="238" t="s">
        <v>455</v>
      </c>
      <c r="C16" s="252" t="s">
        <v>464</v>
      </c>
      <c r="D16" s="251" t="s">
        <v>271</v>
      </c>
      <c r="E16" s="240">
        <v>3</v>
      </c>
      <c r="F16" s="241"/>
      <c r="G16" s="241"/>
      <c r="H16" s="241"/>
      <c r="I16" s="241"/>
      <c r="J16" s="194"/>
      <c r="K16" s="241"/>
      <c r="L16" s="241"/>
      <c r="M16" s="241" t="s">
        <v>466</v>
      </c>
      <c r="N16" s="242"/>
      <c r="O16" s="242"/>
      <c r="P16" s="101">
        <f t="shared" si="0"/>
        <v>0</v>
      </c>
      <c r="Q16" s="194"/>
      <c r="R16" s="242"/>
      <c r="S16" s="242"/>
      <c r="T16" s="101">
        <f t="shared" si="1"/>
        <v>0</v>
      </c>
      <c r="U16" s="243" t="e">
        <f t="shared" si="2"/>
        <v>#DIV/0!</v>
      </c>
      <c r="V16" s="194">
        <f>N16*K16</f>
        <v>0</v>
      </c>
      <c r="W16" s="194"/>
      <c r="X16" s="244"/>
      <c r="Y16" s="243" t="e">
        <f t="shared" si="3"/>
        <v>#DIV/0!</v>
      </c>
      <c r="Z16" s="244">
        <f t="shared" si="4"/>
        <v>0</v>
      </c>
      <c r="AA16" s="244">
        <f>IF(W16-X16&gt;0,W16-X16,0)</f>
        <v>0</v>
      </c>
      <c r="AB16" s="244">
        <f>IF(G16="内部调拨",0,N16-X16)</f>
        <v>0</v>
      </c>
      <c r="AC16" s="244">
        <f>IF(G16="内部调拨",0,O16)</f>
        <v>0</v>
      </c>
      <c r="AD16" s="244">
        <f t="shared" si="5"/>
        <v>0</v>
      </c>
      <c r="AE16" s="245"/>
      <c r="AF16" s="245"/>
      <c r="AG16" s="242"/>
      <c r="AH16" s="243" t="e">
        <f t="shared" si="6"/>
        <v>#DIV/0!</v>
      </c>
      <c r="AI16" s="244"/>
      <c r="AJ16" s="243" t="e">
        <f t="shared" si="7"/>
        <v>#DIV/0!</v>
      </c>
      <c r="AK16" s="242"/>
      <c r="AL16" s="242"/>
      <c r="AM16" s="246"/>
      <c r="AN16" s="247"/>
      <c r="AO16" s="248"/>
      <c r="AP16" s="249"/>
      <c r="AQ16" s="40"/>
    </row>
    <row r="17" spans="1:43" s="24" customFormat="1" ht="20.25" customHeight="1" outlineLevel="1" collapsed="1">
      <c r="A17" s="226">
        <v>4</v>
      </c>
      <c r="B17" s="227" t="s">
        <v>272</v>
      </c>
      <c r="C17" s="228" t="s">
        <v>467</v>
      </c>
      <c r="D17" s="229" t="s">
        <v>272</v>
      </c>
      <c r="E17" s="147">
        <v>2</v>
      </c>
      <c r="F17" s="230"/>
      <c r="G17" s="230"/>
      <c r="H17" s="230"/>
      <c r="I17" s="230"/>
      <c r="J17" s="231">
        <f>SUMIF($C18:$C19,$C17&amp;":*",J18:J19)</f>
        <v>0</v>
      </c>
      <c r="K17" s="230"/>
      <c r="L17" s="230"/>
      <c r="M17" s="230"/>
      <c r="N17" s="231">
        <f>SUMIF($C18:$C19,$C17&amp;":*",N18:N19)</f>
        <v>0</v>
      </c>
      <c r="O17" s="231">
        <f>SUMIF($C18:$C19,$C17&amp;":*",O18:O19)</f>
        <v>0</v>
      </c>
      <c r="P17" s="231">
        <f t="shared" si="0"/>
        <v>0</v>
      </c>
      <c r="Q17" s="232">
        <f>SUMIF($C18:$C19,$C17&amp;":*",Q18:Q19)</f>
        <v>0</v>
      </c>
      <c r="R17" s="231">
        <f>SUMIF($C18:$C19,$C17&amp;":*",R18:R19)</f>
        <v>0</v>
      </c>
      <c r="S17" s="231">
        <f>SUMIF($C18:$C19,$C17&amp;":*",S18:S19)</f>
        <v>0</v>
      </c>
      <c r="T17" s="231">
        <f t="shared" si="1"/>
        <v>0</v>
      </c>
      <c r="U17" s="151" t="e">
        <f t="shared" si="2"/>
        <v>#DIV/0!</v>
      </c>
      <c r="V17" s="232">
        <f>SUMIF($C18:$C19,$C17&amp;":*",V18:V19)</f>
        <v>0</v>
      </c>
      <c r="W17" s="232">
        <f>SUMIF($C18:$C19,$C17&amp;":*",W18:W19)</f>
        <v>0</v>
      </c>
      <c r="X17" s="232">
        <f>SUMIF($C18:$C19,$C17&amp;":*",X18:X19)</f>
        <v>0</v>
      </c>
      <c r="Y17" s="151" t="e">
        <f t="shared" si="3"/>
        <v>#DIV/0!</v>
      </c>
      <c r="Z17" s="233">
        <f t="shared" si="4"/>
        <v>0</v>
      </c>
      <c r="AA17" s="232">
        <f>SUMIF($C18:$C19,$C17&amp;":*",AA18:AA19)</f>
        <v>0</v>
      </c>
      <c r="AB17" s="232">
        <f>SUM(AB18:AB19)</f>
        <v>0</v>
      </c>
      <c r="AC17" s="232">
        <f t="shared" ref="AC17:AC48" si="9">O17</f>
        <v>0</v>
      </c>
      <c r="AD17" s="233">
        <f t="shared" si="5"/>
        <v>0</v>
      </c>
      <c r="AE17" s="234"/>
      <c r="AF17" s="234"/>
      <c r="AG17" s="231">
        <f>SUMIF($C18:$C19,$C17&amp;":*",AG18:AG19)</f>
        <v>0</v>
      </c>
      <c r="AH17" s="151" t="e">
        <f t="shared" si="6"/>
        <v>#DIV/0!</v>
      </c>
      <c r="AI17" s="231">
        <f>SUMIF($C18:$C19,$C17&amp;":*",AI18:AI19)</f>
        <v>0</v>
      </c>
      <c r="AJ17" s="151" t="e">
        <f t="shared" si="7"/>
        <v>#DIV/0!</v>
      </c>
      <c r="AK17" s="231">
        <f>SUMIF($C18:$C19,$C17&amp;":*",AK18:AK19)</f>
        <v>0</v>
      </c>
      <c r="AL17" s="231">
        <f>SUMIF($C18:$C19,$C17&amp;":*",AL18:AL19)</f>
        <v>0</v>
      </c>
      <c r="AM17" s="235"/>
      <c r="AN17" s="232">
        <f>SUMIF($C18:$C19,$C17&amp;":*",AN18:AN19)</f>
        <v>0</v>
      </c>
      <c r="AO17" s="235"/>
      <c r="AP17" s="236"/>
      <c r="AQ17" s="39"/>
    </row>
    <row r="18" spans="1:43" s="24" customFormat="1" ht="20.25" hidden="1" customHeight="1" outlineLevel="2">
      <c r="A18" s="237" t="s">
        <v>468</v>
      </c>
      <c r="B18" s="238" t="s">
        <v>455</v>
      </c>
      <c r="C18" s="252" t="s">
        <v>469</v>
      </c>
      <c r="D18" s="251" t="s">
        <v>272</v>
      </c>
      <c r="E18" s="240">
        <v>3</v>
      </c>
      <c r="F18" s="241"/>
      <c r="G18" s="241"/>
      <c r="H18" s="241"/>
      <c r="I18" s="241"/>
      <c r="J18" s="194"/>
      <c r="K18" s="241"/>
      <c r="L18" s="241"/>
      <c r="M18" s="241"/>
      <c r="N18" s="242"/>
      <c r="O18" s="242"/>
      <c r="P18" s="101">
        <f t="shared" si="0"/>
        <v>0</v>
      </c>
      <c r="Q18" s="194"/>
      <c r="R18" s="242"/>
      <c r="S18" s="242"/>
      <c r="T18" s="101">
        <f t="shared" si="1"/>
        <v>0</v>
      </c>
      <c r="U18" s="243" t="e">
        <f t="shared" si="2"/>
        <v>#DIV/0!</v>
      </c>
      <c r="V18" s="194">
        <f>N18*K18</f>
        <v>0</v>
      </c>
      <c r="W18" s="194"/>
      <c r="X18" s="244"/>
      <c r="Y18" s="243" t="e">
        <f t="shared" si="3"/>
        <v>#DIV/0!</v>
      </c>
      <c r="Z18" s="244">
        <f t="shared" si="4"/>
        <v>0</v>
      </c>
      <c r="AA18" s="244">
        <f>IF(W18-X18&gt;0,W18-X18,0)</f>
        <v>0</v>
      </c>
      <c r="AB18" s="244">
        <f>IF(G18="内部调拨",0,N18-X18)</f>
        <v>0</v>
      </c>
      <c r="AC18" s="244">
        <f t="shared" si="9"/>
        <v>0</v>
      </c>
      <c r="AD18" s="244">
        <f t="shared" si="5"/>
        <v>0</v>
      </c>
      <c r="AE18" s="245"/>
      <c r="AF18" s="245"/>
      <c r="AG18" s="242"/>
      <c r="AH18" s="243" t="e">
        <f t="shared" si="6"/>
        <v>#DIV/0!</v>
      </c>
      <c r="AI18" s="244"/>
      <c r="AJ18" s="243" t="e">
        <f t="shared" si="7"/>
        <v>#DIV/0!</v>
      </c>
      <c r="AK18" s="242"/>
      <c r="AL18" s="242"/>
      <c r="AM18" s="246"/>
      <c r="AN18" s="247"/>
      <c r="AO18" s="248"/>
      <c r="AP18" s="249"/>
      <c r="AQ18" s="40"/>
    </row>
    <row r="19" spans="1:43" s="24" customFormat="1" ht="20.25" hidden="1" customHeight="1" outlineLevel="2">
      <c r="A19" s="237" t="s">
        <v>470</v>
      </c>
      <c r="B19" s="238" t="s">
        <v>455</v>
      </c>
      <c r="C19" s="252" t="s">
        <v>469</v>
      </c>
      <c r="D19" s="251" t="s">
        <v>272</v>
      </c>
      <c r="E19" s="240">
        <v>3</v>
      </c>
      <c r="F19" s="241"/>
      <c r="G19" s="241"/>
      <c r="H19" s="241"/>
      <c r="I19" s="241"/>
      <c r="J19" s="194"/>
      <c r="K19" s="241"/>
      <c r="L19" s="241"/>
      <c r="M19" s="241"/>
      <c r="N19" s="242"/>
      <c r="O19" s="242"/>
      <c r="P19" s="101">
        <f t="shared" si="0"/>
        <v>0</v>
      </c>
      <c r="Q19" s="194"/>
      <c r="R19" s="242"/>
      <c r="S19" s="242"/>
      <c r="T19" s="101">
        <f t="shared" si="1"/>
        <v>0</v>
      </c>
      <c r="U19" s="243" t="e">
        <f t="shared" si="2"/>
        <v>#DIV/0!</v>
      </c>
      <c r="V19" s="194">
        <f>N19*K19</f>
        <v>0</v>
      </c>
      <c r="W19" s="194"/>
      <c r="X19" s="244"/>
      <c r="Y19" s="243" t="e">
        <f t="shared" si="3"/>
        <v>#DIV/0!</v>
      </c>
      <c r="Z19" s="244">
        <f t="shared" si="4"/>
        <v>0</v>
      </c>
      <c r="AA19" s="244">
        <f>IF(W19-X19&gt;0,W19-X19,0)</f>
        <v>0</v>
      </c>
      <c r="AB19" s="244">
        <f>IF(G19="内部调拨",0,N19-X19)</f>
        <v>0</v>
      </c>
      <c r="AC19" s="244">
        <f t="shared" si="9"/>
        <v>0</v>
      </c>
      <c r="AD19" s="244">
        <f t="shared" si="5"/>
        <v>0</v>
      </c>
      <c r="AE19" s="245"/>
      <c r="AF19" s="245"/>
      <c r="AG19" s="242"/>
      <c r="AH19" s="243" t="e">
        <f t="shared" si="6"/>
        <v>#DIV/0!</v>
      </c>
      <c r="AI19" s="244"/>
      <c r="AJ19" s="243" t="e">
        <f t="shared" si="7"/>
        <v>#DIV/0!</v>
      </c>
      <c r="AK19" s="242"/>
      <c r="AL19" s="242"/>
      <c r="AM19" s="246"/>
      <c r="AN19" s="247"/>
      <c r="AO19" s="248"/>
      <c r="AP19" s="249"/>
      <c r="AQ19" s="40"/>
    </row>
    <row r="20" spans="1:43" s="24" customFormat="1" ht="20.25" customHeight="1" outlineLevel="1" collapsed="1">
      <c r="A20" s="226">
        <v>5</v>
      </c>
      <c r="B20" s="227" t="s">
        <v>273</v>
      </c>
      <c r="C20" s="228" t="s">
        <v>471</v>
      </c>
      <c r="D20" s="229" t="s">
        <v>273</v>
      </c>
      <c r="E20" s="147">
        <v>2</v>
      </c>
      <c r="F20" s="230"/>
      <c r="G20" s="230"/>
      <c r="H20" s="230"/>
      <c r="I20" s="230"/>
      <c r="J20" s="231">
        <f>SUMIF($C21:$C22,$C20&amp;":*",J21:J22)</f>
        <v>0</v>
      </c>
      <c r="K20" s="230"/>
      <c r="L20" s="230"/>
      <c r="M20" s="230"/>
      <c r="N20" s="231">
        <f>SUMIF($C21:$C22,$C20&amp;":*",N21:N22)</f>
        <v>0</v>
      </c>
      <c r="O20" s="231">
        <f>SUMIF($C21:$C22,$C20&amp;":*",O21:O22)</f>
        <v>0</v>
      </c>
      <c r="P20" s="231">
        <f t="shared" si="0"/>
        <v>0</v>
      </c>
      <c r="Q20" s="232">
        <f>SUMIF($C21:$C22,$C20&amp;":*",Q21:Q22)</f>
        <v>0</v>
      </c>
      <c r="R20" s="231">
        <f>SUMIF($C21:$C22,$C20&amp;":*",R21:R22)</f>
        <v>0</v>
      </c>
      <c r="S20" s="231">
        <f>SUMIF($C21:$C22,$C20&amp;":*",S21:S22)</f>
        <v>0</v>
      </c>
      <c r="T20" s="231">
        <f t="shared" si="1"/>
        <v>0</v>
      </c>
      <c r="U20" s="151" t="e">
        <f t="shared" si="2"/>
        <v>#DIV/0!</v>
      </c>
      <c r="V20" s="232">
        <f>SUMIF($C21:$C22,$C20&amp;":*",V21:V22)</f>
        <v>0</v>
      </c>
      <c r="W20" s="232">
        <f>SUMIF($C21:$C22,$C20&amp;":*",W21:W22)</f>
        <v>0</v>
      </c>
      <c r="X20" s="232">
        <f>SUMIF($C21:$C22,$C20&amp;":*",X21:X22)</f>
        <v>0</v>
      </c>
      <c r="Y20" s="151" t="e">
        <f t="shared" si="3"/>
        <v>#DIV/0!</v>
      </c>
      <c r="Z20" s="233">
        <f t="shared" si="4"/>
        <v>0</v>
      </c>
      <c r="AA20" s="232">
        <f>SUMIF($C21:$C22,$C20&amp;":*",AA21:AA22)</f>
        <v>0</v>
      </c>
      <c r="AB20" s="232">
        <f>SUM(AB21:AB22)</f>
        <v>0</v>
      </c>
      <c r="AC20" s="232">
        <f t="shared" si="9"/>
        <v>0</v>
      </c>
      <c r="AD20" s="233">
        <f t="shared" si="5"/>
        <v>0</v>
      </c>
      <c r="AE20" s="234"/>
      <c r="AF20" s="234"/>
      <c r="AG20" s="231">
        <f>SUMIF($C21:$C22,$C20&amp;":*",AG21:AG22)</f>
        <v>0</v>
      </c>
      <c r="AH20" s="151" t="e">
        <f t="shared" si="6"/>
        <v>#DIV/0!</v>
      </c>
      <c r="AI20" s="231">
        <f>SUMIF($C21:$C22,$C20&amp;":*",AI21:AI22)</f>
        <v>0</v>
      </c>
      <c r="AJ20" s="151" t="e">
        <f t="shared" si="7"/>
        <v>#DIV/0!</v>
      </c>
      <c r="AK20" s="231">
        <f>SUMIF($C21:$C22,$C20&amp;":*",AK21:AK22)</f>
        <v>0</v>
      </c>
      <c r="AL20" s="231">
        <f>SUMIF($C21:$C22,$C20&amp;":*",AL21:AL22)</f>
        <v>0</v>
      </c>
      <c r="AM20" s="235"/>
      <c r="AN20" s="232">
        <f>SUMIF($C21:$C22,$C20&amp;":*",AN21:AN22)</f>
        <v>0</v>
      </c>
      <c r="AO20" s="235"/>
      <c r="AP20" s="236"/>
      <c r="AQ20" s="39"/>
    </row>
    <row r="21" spans="1:43" s="24" customFormat="1" ht="20.25" hidden="1" customHeight="1" outlineLevel="2">
      <c r="A21" s="237" t="s">
        <v>472</v>
      </c>
      <c r="B21" s="238" t="s">
        <v>455</v>
      </c>
      <c r="C21" s="252" t="s">
        <v>473</v>
      </c>
      <c r="D21" s="251" t="s">
        <v>273</v>
      </c>
      <c r="E21" s="240">
        <v>3</v>
      </c>
      <c r="F21" s="241"/>
      <c r="G21" s="241"/>
      <c r="H21" s="241"/>
      <c r="I21" s="241"/>
      <c r="J21" s="194"/>
      <c r="K21" s="241"/>
      <c r="L21" s="241"/>
      <c r="M21" s="241"/>
      <c r="N21" s="242"/>
      <c r="O21" s="242"/>
      <c r="P21" s="101">
        <f t="shared" si="0"/>
        <v>0</v>
      </c>
      <c r="Q21" s="194"/>
      <c r="R21" s="242"/>
      <c r="S21" s="242"/>
      <c r="T21" s="101">
        <f t="shared" si="1"/>
        <v>0</v>
      </c>
      <c r="U21" s="243" t="e">
        <f t="shared" si="2"/>
        <v>#DIV/0!</v>
      </c>
      <c r="V21" s="194">
        <f>N21*K21</f>
        <v>0</v>
      </c>
      <c r="W21" s="194"/>
      <c r="X21" s="244"/>
      <c r="Y21" s="243" t="e">
        <f t="shared" si="3"/>
        <v>#DIV/0!</v>
      </c>
      <c r="Z21" s="244">
        <f t="shared" si="4"/>
        <v>0</v>
      </c>
      <c r="AA21" s="244">
        <f>IF(W21-X21&gt;0,W21-X21,0)</f>
        <v>0</v>
      </c>
      <c r="AB21" s="244">
        <f>IF(G21="内部调拨",0,N21-X21)</f>
        <v>0</v>
      </c>
      <c r="AC21" s="244">
        <f t="shared" si="9"/>
        <v>0</v>
      </c>
      <c r="AD21" s="244">
        <f t="shared" si="5"/>
        <v>0</v>
      </c>
      <c r="AE21" s="245"/>
      <c r="AF21" s="245"/>
      <c r="AG21" s="242"/>
      <c r="AH21" s="243" t="e">
        <f t="shared" si="6"/>
        <v>#DIV/0!</v>
      </c>
      <c r="AI21" s="244"/>
      <c r="AJ21" s="243" t="e">
        <f t="shared" si="7"/>
        <v>#DIV/0!</v>
      </c>
      <c r="AK21" s="242"/>
      <c r="AL21" s="242"/>
      <c r="AM21" s="246"/>
      <c r="AN21" s="247"/>
      <c r="AO21" s="248"/>
      <c r="AP21" s="249"/>
      <c r="AQ21" s="40"/>
    </row>
    <row r="22" spans="1:43" s="24" customFormat="1" ht="20.25" hidden="1" customHeight="1" outlineLevel="2">
      <c r="A22" s="237" t="s">
        <v>474</v>
      </c>
      <c r="B22" s="238" t="s">
        <v>455</v>
      </c>
      <c r="C22" s="252" t="s">
        <v>473</v>
      </c>
      <c r="D22" s="251" t="s">
        <v>273</v>
      </c>
      <c r="E22" s="240">
        <v>3</v>
      </c>
      <c r="F22" s="241"/>
      <c r="G22" s="241"/>
      <c r="H22" s="241"/>
      <c r="I22" s="241"/>
      <c r="J22" s="194"/>
      <c r="K22" s="241"/>
      <c r="L22" s="241"/>
      <c r="M22" s="241"/>
      <c r="N22" s="242"/>
      <c r="O22" s="242"/>
      <c r="P22" s="101">
        <f t="shared" si="0"/>
        <v>0</v>
      </c>
      <c r="Q22" s="194"/>
      <c r="R22" s="242"/>
      <c r="S22" s="242"/>
      <c r="T22" s="101">
        <f t="shared" si="1"/>
        <v>0</v>
      </c>
      <c r="U22" s="243" t="e">
        <f t="shared" si="2"/>
        <v>#DIV/0!</v>
      </c>
      <c r="V22" s="194">
        <f>N22*K22</f>
        <v>0</v>
      </c>
      <c r="W22" s="194"/>
      <c r="X22" s="244"/>
      <c r="Y22" s="243" t="e">
        <f t="shared" si="3"/>
        <v>#DIV/0!</v>
      </c>
      <c r="Z22" s="244">
        <f t="shared" si="4"/>
        <v>0</v>
      </c>
      <c r="AA22" s="244">
        <f>IF(W22-X22&gt;0,W22-X22,0)</f>
        <v>0</v>
      </c>
      <c r="AB22" s="244">
        <f>IF(G22="内部调拨",0,N22-X22)</f>
        <v>0</v>
      </c>
      <c r="AC22" s="244">
        <f t="shared" si="9"/>
        <v>0</v>
      </c>
      <c r="AD22" s="244">
        <f t="shared" si="5"/>
        <v>0</v>
      </c>
      <c r="AE22" s="245"/>
      <c r="AF22" s="245"/>
      <c r="AG22" s="242"/>
      <c r="AH22" s="243" t="e">
        <f t="shared" si="6"/>
        <v>#DIV/0!</v>
      </c>
      <c r="AI22" s="244"/>
      <c r="AJ22" s="243" t="e">
        <f t="shared" si="7"/>
        <v>#DIV/0!</v>
      </c>
      <c r="AK22" s="242"/>
      <c r="AL22" s="242"/>
      <c r="AM22" s="246"/>
      <c r="AN22" s="247"/>
      <c r="AO22" s="248"/>
      <c r="AP22" s="249"/>
      <c r="AQ22" s="40"/>
    </row>
    <row r="23" spans="1:43" s="24" customFormat="1" ht="20.25" customHeight="1" outlineLevel="1" collapsed="1">
      <c r="A23" s="226">
        <v>6</v>
      </c>
      <c r="B23" s="227" t="s">
        <v>274</v>
      </c>
      <c r="C23" s="228" t="s">
        <v>475</v>
      </c>
      <c r="D23" s="229" t="s">
        <v>476</v>
      </c>
      <c r="E23" s="147">
        <v>2</v>
      </c>
      <c r="F23" s="230"/>
      <c r="G23" s="230"/>
      <c r="H23" s="230"/>
      <c r="I23" s="230"/>
      <c r="J23" s="231">
        <f>SUMIF($C24:$C25,$C23&amp;":*",J24:J25)</f>
        <v>0</v>
      </c>
      <c r="K23" s="230"/>
      <c r="L23" s="230"/>
      <c r="M23" s="230"/>
      <c r="N23" s="231">
        <f>SUMIF($C24:$C25,$C23&amp;":*",N24:N25)</f>
        <v>0</v>
      </c>
      <c r="O23" s="231">
        <f>SUMIF($C24:$C25,$C23&amp;":*",O24:O25)</f>
        <v>0</v>
      </c>
      <c r="P23" s="231">
        <f t="shared" si="0"/>
        <v>0</v>
      </c>
      <c r="Q23" s="232">
        <f>SUMIF($C24:$C25,$C23&amp;":*",Q24:Q25)</f>
        <v>0</v>
      </c>
      <c r="R23" s="231">
        <f>SUMIF($C24:$C25,$C23&amp;":*",R24:R25)</f>
        <v>0</v>
      </c>
      <c r="S23" s="231">
        <f>SUMIF($C24:$C25,$C23&amp;":*",S24:S25)</f>
        <v>0</v>
      </c>
      <c r="T23" s="231">
        <f t="shared" si="1"/>
        <v>0</v>
      </c>
      <c r="U23" s="151" t="e">
        <f t="shared" si="2"/>
        <v>#DIV/0!</v>
      </c>
      <c r="V23" s="232">
        <f>SUMIF($C24:$C25,$C23&amp;":*",V24:V25)</f>
        <v>0</v>
      </c>
      <c r="W23" s="232">
        <f>SUMIF($C24:$C25,$C23&amp;":*",W24:W25)</f>
        <v>0</v>
      </c>
      <c r="X23" s="232">
        <f>SUMIF($C24:$C25,$C23&amp;":*",X24:X25)</f>
        <v>0</v>
      </c>
      <c r="Y23" s="151" t="e">
        <f t="shared" si="3"/>
        <v>#DIV/0!</v>
      </c>
      <c r="Z23" s="233">
        <f t="shared" si="4"/>
        <v>0</v>
      </c>
      <c r="AA23" s="232">
        <f>SUMIF($C24:$C25,$C23&amp;":*",AA24:AA25)</f>
        <v>0</v>
      </c>
      <c r="AB23" s="232">
        <f>SUM(AB24:AB25)</f>
        <v>0</v>
      </c>
      <c r="AC23" s="232">
        <f t="shared" si="9"/>
        <v>0</v>
      </c>
      <c r="AD23" s="233">
        <f t="shared" si="5"/>
        <v>0</v>
      </c>
      <c r="AE23" s="234"/>
      <c r="AF23" s="234"/>
      <c r="AG23" s="231">
        <f>SUMIF($C24:$C25,$C23&amp;":*",AG24:AG25)</f>
        <v>0</v>
      </c>
      <c r="AH23" s="151" t="e">
        <f t="shared" si="6"/>
        <v>#DIV/0!</v>
      </c>
      <c r="AI23" s="231">
        <f>SUMIF($C24:$C25,$C23&amp;":*",AI24:AI25)</f>
        <v>0</v>
      </c>
      <c r="AJ23" s="151" t="e">
        <f t="shared" si="7"/>
        <v>#DIV/0!</v>
      </c>
      <c r="AK23" s="231">
        <f>SUMIF($C24:$C25,$C23&amp;":*",AK24:AK25)</f>
        <v>0</v>
      </c>
      <c r="AL23" s="231">
        <f>SUMIF($C24:$C25,$C23&amp;":*",AL24:AL25)</f>
        <v>0</v>
      </c>
      <c r="AM23" s="235"/>
      <c r="AN23" s="232">
        <f>SUMIF($C24:$C25,$C23&amp;":*",AN24:AN25)</f>
        <v>0</v>
      </c>
      <c r="AO23" s="235"/>
      <c r="AP23" s="236"/>
      <c r="AQ23" s="39"/>
    </row>
    <row r="24" spans="1:43" s="24" customFormat="1" ht="20.25" hidden="1" customHeight="1" outlineLevel="2">
      <c r="A24" s="237" t="s">
        <v>477</v>
      </c>
      <c r="B24" s="238" t="s">
        <v>455</v>
      </c>
      <c r="C24" s="252" t="s">
        <v>478</v>
      </c>
      <c r="D24" s="251" t="s">
        <v>476</v>
      </c>
      <c r="E24" s="240">
        <v>3</v>
      </c>
      <c r="F24" s="241"/>
      <c r="G24" s="241"/>
      <c r="H24" s="241"/>
      <c r="I24" s="241"/>
      <c r="J24" s="194"/>
      <c r="K24" s="241"/>
      <c r="L24" s="241"/>
      <c r="M24" s="241"/>
      <c r="N24" s="242"/>
      <c r="O24" s="242"/>
      <c r="P24" s="101">
        <f t="shared" si="0"/>
        <v>0</v>
      </c>
      <c r="Q24" s="194"/>
      <c r="R24" s="242"/>
      <c r="S24" s="242"/>
      <c r="T24" s="101">
        <f t="shared" si="1"/>
        <v>0</v>
      </c>
      <c r="U24" s="243" t="e">
        <f t="shared" si="2"/>
        <v>#DIV/0!</v>
      </c>
      <c r="V24" s="194">
        <f>N24*K24</f>
        <v>0</v>
      </c>
      <c r="W24" s="194"/>
      <c r="X24" s="244"/>
      <c r="Y24" s="243" t="e">
        <f t="shared" si="3"/>
        <v>#DIV/0!</v>
      </c>
      <c r="Z24" s="244">
        <f t="shared" si="4"/>
        <v>0</v>
      </c>
      <c r="AA24" s="244">
        <f>IF(W24-X24&gt;0,W24-X24,0)</f>
        <v>0</v>
      </c>
      <c r="AB24" s="244">
        <f>IF(G24="内部调拨",0,N24-X24)</f>
        <v>0</v>
      </c>
      <c r="AC24" s="244">
        <f t="shared" si="9"/>
        <v>0</v>
      </c>
      <c r="AD24" s="244">
        <f t="shared" si="5"/>
        <v>0</v>
      </c>
      <c r="AE24" s="245"/>
      <c r="AF24" s="245"/>
      <c r="AG24" s="242"/>
      <c r="AH24" s="243" t="e">
        <f t="shared" si="6"/>
        <v>#DIV/0!</v>
      </c>
      <c r="AI24" s="244"/>
      <c r="AJ24" s="243" t="e">
        <f t="shared" si="7"/>
        <v>#DIV/0!</v>
      </c>
      <c r="AK24" s="242"/>
      <c r="AL24" s="242"/>
      <c r="AM24" s="246"/>
      <c r="AN24" s="247"/>
      <c r="AO24" s="248"/>
      <c r="AP24" s="249"/>
      <c r="AQ24" s="40"/>
    </row>
    <row r="25" spans="1:43" s="24" customFormat="1" ht="20.25" hidden="1" customHeight="1" outlineLevel="2">
      <c r="A25" s="237" t="s">
        <v>479</v>
      </c>
      <c r="B25" s="238" t="s">
        <v>455</v>
      </c>
      <c r="C25" s="252" t="s">
        <v>478</v>
      </c>
      <c r="D25" s="251" t="s">
        <v>476</v>
      </c>
      <c r="E25" s="240">
        <v>3</v>
      </c>
      <c r="F25" s="241"/>
      <c r="G25" s="241"/>
      <c r="H25" s="241"/>
      <c r="I25" s="241"/>
      <c r="J25" s="194"/>
      <c r="K25" s="241"/>
      <c r="L25" s="241"/>
      <c r="M25" s="241"/>
      <c r="N25" s="242"/>
      <c r="O25" s="242"/>
      <c r="P25" s="101">
        <f t="shared" si="0"/>
        <v>0</v>
      </c>
      <c r="Q25" s="194"/>
      <c r="R25" s="242"/>
      <c r="S25" s="242"/>
      <c r="T25" s="101">
        <f t="shared" si="1"/>
        <v>0</v>
      </c>
      <c r="U25" s="243" t="e">
        <f t="shared" si="2"/>
        <v>#DIV/0!</v>
      </c>
      <c r="V25" s="194">
        <f>N25*K25</f>
        <v>0</v>
      </c>
      <c r="W25" s="194"/>
      <c r="X25" s="244"/>
      <c r="Y25" s="243" t="e">
        <f t="shared" si="3"/>
        <v>#DIV/0!</v>
      </c>
      <c r="Z25" s="244">
        <f t="shared" si="4"/>
        <v>0</v>
      </c>
      <c r="AA25" s="244">
        <f>IF(W25-X25&gt;0,W25-X25,0)</f>
        <v>0</v>
      </c>
      <c r="AB25" s="244">
        <f>IF(G25="内部调拨",0,N25-X25)</f>
        <v>0</v>
      </c>
      <c r="AC25" s="244">
        <f t="shared" si="9"/>
        <v>0</v>
      </c>
      <c r="AD25" s="244">
        <f t="shared" si="5"/>
        <v>0</v>
      </c>
      <c r="AE25" s="245"/>
      <c r="AF25" s="245"/>
      <c r="AG25" s="242"/>
      <c r="AH25" s="243" t="e">
        <f t="shared" si="6"/>
        <v>#DIV/0!</v>
      </c>
      <c r="AI25" s="244"/>
      <c r="AJ25" s="243" t="e">
        <f t="shared" si="7"/>
        <v>#DIV/0!</v>
      </c>
      <c r="AK25" s="242"/>
      <c r="AL25" s="242"/>
      <c r="AM25" s="246"/>
      <c r="AN25" s="247"/>
      <c r="AO25" s="248"/>
      <c r="AP25" s="249"/>
      <c r="AQ25" s="40"/>
    </row>
    <row r="26" spans="1:43" s="24" customFormat="1" ht="20.25" customHeight="1" outlineLevel="1">
      <c r="A26" s="226">
        <v>7</v>
      </c>
      <c r="B26" s="227" t="s">
        <v>275</v>
      </c>
      <c r="C26" s="228" t="s">
        <v>480</v>
      </c>
      <c r="D26" s="229" t="s">
        <v>275</v>
      </c>
      <c r="E26" s="147">
        <v>2</v>
      </c>
      <c r="F26" s="230"/>
      <c r="G26" s="230"/>
      <c r="H26" s="230"/>
      <c r="I26" s="230"/>
      <c r="J26" s="231">
        <f>SUMIF($C27:$C29,$C26&amp;":*",J27:J29)</f>
        <v>0</v>
      </c>
      <c r="K26" s="230"/>
      <c r="L26" s="230"/>
      <c r="M26" s="230"/>
      <c r="N26" s="231">
        <f>SUMIF($C27:$C29,$C26&amp;":*",N27:N29)</f>
        <v>0</v>
      </c>
      <c r="O26" s="231">
        <f>SUMIF($C27:$C29,$C26&amp;":*",O27:O29)</f>
        <v>0</v>
      </c>
      <c r="P26" s="231">
        <f t="shared" si="0"/>
        <v>0</v>
      </c>
      <c r="Q26" s="232">
        <f>SUMIF($C27:$C29,$C26&amp;":*",Q27:Q29)</f>
        <v>0</v>
      </c>
      <c r="R26" s="231">
        <f>SUMIF($C27:$C29,$C26&amp;":*",R27:R29)</f>
        <v>0</v>
      </c>
      <c r="S26" s="231">
        <f>SUMIF($C27:$C29,$C26&amp;":*",S27:S29)</f>
        <v>0</v>
      </c>
      <c r="T26" s="231">
        <f t="shared" si="1"/>
        <v>0</v>
      </c>
      <c r="U26" s="151" t="e">
        <f t="shared" si="2"/>
        <v>#DIV/0!</v>
      </c>
      <c r="V26" s="232">
        <f>SUMIF($C27:$C29,$C26&amp;":*",V27:V29)</f>
        <v>0</v>
      </c>
      <c r="W26" s="232">
        <f>SUMIF($C27:$C29,$C26&amp;":*",W27:W29)</f>
        <v>0</v>
      </c>
      <c r="X26" s="232">
        <f>SUMIF($C27:$C29,$C26&amp;":*",X27:X29)</f>
        <v>0</v>
      </c>
      <c r="Y26" s="151" t="e">
        <f t="shared" si="3"/>
        <v>#DIV/0!</v>
      </c>
      <c r="Z26" s="233">
        <f t="shared" si="4"/>
        <v>0</v>
      </c>
      <c r="AA26" s="232">
        <f>SUMIF($C27:$C29,$C26&amp;":*",AA27:AA29)</f>
        <v>0</v>
      </c>
      <c r="AB26" s="232">
        <f>SUM(AB27:AB29)</f>
        <v>0</v>
      </c>
      <c r="AC26" s="232">
        <f t="shared" si="9"/>
        <v>0</v>
      </c>
      <c r="AD26" s="233">
        <f t="shared" si="5"/>
        <v>0</v>
      </c>
      <c r="AE26" s="234"/>
      <c r="AF26" s="234"/>
      <c r="AG26" s="231">
        <f>SUMIF($C27:$C29,$C26&amp;":*",AG27:AG29)</f>
        <v>0</v>
      </c>
      <c r="AH26" s="151" t="e">
        <f t="shared" si="6"/>
        <v>#DIV/0!</v>
      </c>
      <c r="AI26" s="231">
        <f>SUMIF($C27:$C29,$C26&amp;":*",AI27:AI29)</f>
        <v>0</v>
      </c>
      <c r="AJ26" s="151" t="e">
        <f t="shared" si="7"/>
        <v>#DIV/0!</v>
      </c>
      <c r="AK26" s="231">
        <f>SUMIF($C27:$C29,$C26&amp;":*",AK27:AK29)</f>
        <v>0</v>
      </c>
      <c r="AL26" s="231">
        <f>SUMIF($C27:$C29,$C26&amp;":*",AL27:AL29)</f>
        <v>0</v>
      </c>
      <c r="AM26" s="235"/>
      <c r="AN26" s="232">
        <f>SUMIF($C27:$C29,$C26&amp;":*",AN27:AN29)</f>
        <v>0</v>
      </c>
      <c r="AO26" s="235"/>
      <c r="AP26" s="236"/>
      <c r="AQ26" s="39"/>
    </row>
    <row r="27" spans="1:43" s="24" customFormat="1" ht="20.25" hidden="1" customHeight="1" outlineLevel="2">
      <c r="A27" s="237" t="s">
        <v>481</v>
      </c>
      <c r="B27" s="238" t="s">
        <v>455</v>
      </c>
      <c r="C27" s="252" t="s">
        <v>482</v>
      </c>
      <c r="D27" s="251" t="s">
        <v>275</v>
      </c>
      <c r="E27" s="240">
        <v>3</v>
      </c>
      <c r="F27" s="241"/>
      <c r="G27" s="241"/>
      <c r="H27" s="241"/>
      <c r="I27" s="241"/>
      <c r="J27" s="194"/>
      <c r="K27" s="241"/>
      <c r="L27" s="241"/>
      <c r="M27" s="241"/>
      <c r="N27" s="242"/>
      <c r="O27" s="242"/>
      <c r="P27" s="101">
        <f t="shared" si="0"/>
        <v>0</v>
      </c>
      <c r="Q27" s="194"/>
      <c r="R27" s="242"/>
      <c r="S27" s="242"/>
      <c r="T27" s="101">
        <f t="shared" si="1"/>
        <v>0</v>
      </c>
      <c r="U27" s="243" t="e">
        <f t="shared" si="2"/>
        <v>#DIV/0!</v>
      </c>
      <c r="V27" s="194">
        <f>N27*K27</f>
        <v>0</v>
      </c>
      <c r="W27" s="194"/>
      <c r="X27" s="253"/>
      <c r="Y27" s="243" t="e">
        <f t="shared" si="3"/>
        <v>#DIV/0!</v>
      </c>
      <c r="Z27" s="244">
        <f t="shared" si="4"/>
        <v>0</v>
      </c>
      <c r="AA27" s="244">
        <f>IF(W27-X27&gt;0,W27-X27,0)</f>
        <v>0</v>
      </c>
      <c r="AB27" s="244">
        <f>IF(G27="内部调拨",0,N27-X27)</f>
        <v>0</v>
      </c>
      <c r="AC27" s="244">
        <f t="shared" si="9"/>
        <v>0</v>
      </c>
      <c r="AD27" s="244">
        <f t="shared" si="5"/>
        <v>0</v>
      </c>
      <c r="AE27" s="245"/>
      <c r="AF27" s="245"/>
      <c r="AG27" s="242"/>
      <c r="AH27" s="243" t="e">
        <f t="shared" si="6"/>
        <v>#DIV/0!</v>
      </c>
      <c r="AI27" s="244"/>
      <c r="AJ27" s="243" t="e">
        <f t="shared" si="7"/>
        <v>#DIV/0!</v>
      </c>
      <c r="AK27" s="242"/>
      <c r="AL27" s="242"/>
      <c r="AM27" s="246"/>
      <c r="AN27" s="247"/>
      <c r="AO27" s="248"/>
      <c r="AP27" s="249"/>
      <c r="AQ27" s="40"/>
    </row>
    <row r="28" spans="1:43" ht="18" customHeight="1" outlineLevel="2">
      <c r="A28" s="254" t="s">
        <v>483</v>
      </c>
      <c r="B28" s="255" t="s">
        <v>484</v>
      </c>
      <c r="C28" s="252" t="s">
        <v>482</v>
      </c>
      <c r="D28" s="251" t="s">
        <v>275</v>
      </c>
      <c r="E28" s="240">
        <v>3</v>
      </c>
      <c r="F28" s="256" t="s">
        <v>485</v>
      </c>
      <c r="G28" s="256" t="s">
        <v>484</v>
      </c>
      <c r="H28" s="256"/>
      <c r="I28" s="256"/>
      <c r="J28" s="257"/>
      <c r="K28" s="258"/>
      <c r="L28" s="258"/>
      <c r="M28" s="241"/>
      <c r="N28" s="101">
        <f>X28</f>
        <v>0</v>
      </c>
      <c r="O28" s="257"/>
      <c r="P28" s="101">
        <f t="shared" si="0"/>
        <v>0</v>
      </c>
      <c r="Q28" s="259"/>
      <c r="R28" s="257"/>
      <c r="S28" s="257"/>
      <c r="T28" s="101">
        <f t="shared" si="1"/>
        <v>0</v>
      </c>
      <c r="U28" s="243" t="e">
        <f t="shared" si="2"/>
        <v>#DIV/0!</v>
      </c>
      <c r="V28" s="194">
        <f>X28</f>
        <v>0</v>
      </c>
      <c r="W28" s="194"/>
      <c r="X28" s="260">
        <f>LOOKUP(1,0/(项目收支汇总表!A5:A306="4.2.2"),项目收支汇总表!C5:C306)-LOOKUP(1,0/(项目收支汇总表!A5:A306="4.2.2.4"),项目收支汇总表!C5:C306)</f>
        <v>0</v>
      </c>
      <c r="Y28" s="243" t="e">
        <f t="shared" si="3"/>
        <v>#DIV/0!</v>
      </c>
      <c r="Z28" s="244">
        <f t="shared" si="4"/>
        <v>0</v>
      </c>
      <c r="AA28" s="244">
        <f>IF(W28-X28&gt;0,W28-X28,0)</f>
        <v>0</v>
      </c>
      <c r="AB28" s="244">
        <f>N28-X28</f>
        <v>0</v>
      </c>
      <c r="AC28" s="244">
        <f t="shared" si="9"/>
        <v>0</v>
      </c>
      <c r="AD28" s="244">
        <f t="shared" si="5"/>
        <v>0</v>
      </c>
      <c r="AE28" s="245"/>
      <c r="AF28" s="245"/>
      <c r="AG28" s="256"/>
      <c r="AH28" s="243" t="e">
        <f t="shared" si="6"/>
        <v>#DIV/0!</v>
      </c>
      <c r="AI28" s="256"/>
      <c r="AJ28" s="243" t="e">
        <f t="shared" si="7"/>
        <v>#DIV/0!</v>
      </c>
      <c r="AK28" s="256"/>
      <c r="AL28" s="256"/>
      <c r="AM28" s="246"/>
      <c r="AN28" s="261"/>
      <c r="AO28" s="248"/>
      <c r="AP28" s="256"/>
      <c r="AQ28" s="262"/>
    </row>
    <row r="29" spans="1:43" s="24" customFormat="1" ht="20.25" hidden="1" customHeight="1" outlineLevel="2">
      <c r="A29" s="237" t="s">
        <v>486</v>
      </c>
      <c r="B29" s="238" t="s">
        <v>455</v>
      </c>
      <c r="C29" s="252" t="s">
        <v>482</v>
      </c>
      <c r="D29" s="251" t="s">
        <v>275</v>
      </c>
      <c r="E29" s="240">
        <v>3</v>
      </c>
      <c r="F29" s="241"/>
      <c r="G29" s="241"/>
      <c r="H29" s="241"/>
      <c r="I29" s="241"/>
      <c r="J29" s="194"/>
      <c r="K29" s="241"/>
      <c r="L29" s="241"/>
      <c r="M29" s="241"/>
      <c r="N29" s="242"/>
      <c r="O29" s="242"/>
      <c r="P29" s="101">
        <f t="shared" si="0"/>
        <v>0</v>
      </c>
      <c r="Q29" s="194"/>
      <c r="R29" s="242"/>
      <c r="S29" s="242"/>
      <c r="T29" s="101">
        <f t="shared" si="1"/>
        <v>0</v>
      </c>
      <c r="U29" s="243" t="e">
        <f t="shared" si="2"/>
        <v>#DIV/0!</v>
      </c>
      <c r="V29" s="194">
        <f>J29*K29</f>
        <v>0</v>
      </c>
      <c r="W29" s="194"/>
      <c r="X29" s="253"/>
      <c r="Y29" s="243" t="e">
        <f t="shared" si="3"/>
        <v>#DIV/0!</v>
      </c>
      <c r="Z29" s="244">
        <f t="shared" si="4"/>
        <v>0</v>
      </c>
      <c r="AA29" s="244">
        <f>IF(W29-X29&gt;0,W29-X29,0)</f>
        <v>0</v>
      </c>
      <c r="AB29" s="244">
        <f>IF(G29="内部调拨",0,N29-X29)</f>
        <v>0</v>
      </c>
      <c r="AC29" s="244">
        <f t="shared" si="9"/>
        <v>0</v>
      </c>
      <c r="AD29" s="244">
        <f t="shared" si="5"/>
        <v>0</v>
      </c>
      <c r="AE29" s="245"/>
      <c r="AF29" s="245"/>
      <c r="AG29" s="242"/>
      <c r="AH29" s="243" t="e">
        <f t="shared" si="6"/>
        <v>#DIV/0!</v>
      </c>
      <c r="AI29" s="244"/>
      <c r="AJ29" s="243" t="e">
        <f t="shared" si="7"/>
        <v>#DIV/0!</v>
      </c>
      <c r="AK29" s="242"/>
      <c r="AL29" s="242"/>
      <c r="AM29" s="246"/>
      <c r="AN29" s="247"/>
      <c r="AO29" s="248"/>
      <c r="AP29" s="249"/>
      <c r="AQ29" s="40"/>
    </row>
    <row r="30" spans="1:43" s="24" customFormat="1" ht="20.25" customHeight="1">
      <c r="A30" s="214" t="s">
        <v>487</v>
      </c>
      <c r="B30" s="215" t="s">
        <v>276</v>
      </c>
      <c r="C30" s="216" t="s">
        <v>488</v>
      </c>
      <c r="D30" s="217" t="s">
        <v>489</v>
      </c>
      <c r="E30" s="218">
        <v>1</v>
      </c>
      <c r="F30" s="221"/>
      <c r="G30" s="221"/>
      <c r="H30" s="221"/>
      <c r="I30" s="221"/>
      <c r="J30" s="222"/>
      <c r="K30" s="221"/>
      <c r="L30" s="221"/>
      <c r="M30" s="221"/>
      <c r="N30" s="220">
        <f t="shared" ref="N30:T30" si="10">N31+N34+N53+N54+N55+N56</f>
        <v>0</v>
      </c>
      <c r="O30" s="220">
        <f t="shared" si="10"/>
        <v>0</v>
      </c>
      <c r="P30" s="220">
        <f t="shared" si="10"/>
        <v>0</v>
      </c>
      <c r="Q30" s="220">
        <f t="shared" si="10"/>
        <v>0</v>
      </c>
      <c r="R30" s="220">
        <f t="shared" si="10"/>
        <v>0</v>
      </c>
      <c r="S30" s="220">
        <f t="shared" si="10"/>
        <v>0</v>
      </c>
      <c r="T30" s="220">
        <f t="shared" si="10"/>
        <v>0</v>
      </c>
      <c r="U30" s="222" t="e">
        <f t="shared" si="2"/>
        <v>#DIV/0!</v>
      </c>
      <c r="V30" s="222">
        <f>V31+V34+V53+V54+V55+V56</f>
        <v>0</v>
      </c>
      <c r="W30" s="220">
        <f>W31+W34+W53+W54+W55+W56</f>
        <v>0</v>
      </c>
      <c r="X30" s="222">
        <f>X31+X34+X53+X54+X55+X56</f>
        <v>0</v>
      </c>
      <c r="Y30" s="221" t="e">
        <f t="shared" si="3"/>
        <v>#DIV/0!</v>
      </c>
      <c r="Z30" s="220">
        <f t="shared" si="4"/>
        <v>0</v>
      </c>
      <c r="AA30" s="220">
        <f>AA31+AA34+AA53+AA54+AA55+AA56</f>
        <v>0</v>
      </c>
      <c r="AB30" s="220">
        <f t="shared" ref="AB30:AB69" si="11">N30-X30</f>
        <v>0</v>
      </c>
      <c r="AC30" s="220">
        <f t="shared" si="9"/>
        <v>0</v>
      </c>
      <c r="AD30" s="220">
        <f t="shared" si="5"/>
        <v>0</v>
      </c>
      <c r="AE30" s="222"/>
      <c r="AF30" s="222"/>
      <c r="AG30" s="220">
        <f>AG31+AG34+AG53+AG54+AG55+AG56</f>
        <v>0</v>
      </c>
      <c r="AH30" s="221" t="e">
        <f t="shared" si="6"/>
        <v>#DIV/0!</v>
      </c>
      <c r="AI30" s="220">
        <f>AI31+AI34+AI53+AI54+AI55+AI56</f>
        <v>0</v>
      </c>
      <c r="AJ30" s="221" t="e">
        <f t="shared" si="7"/>
        <v>#DIV/0!</v>
      </c>
      <c r="AK30" s="220">
        <f>AK31+AK34+AK53+AK54+AK55+AK56</f>
        <v>0</v>
      </c>
      <c r="AL30" s="220">
        <f>AL31+AL34+AL53+AL54+AL55+AL56</f>
        <v>0</v>
      </c>
      <c r="AM30" s="223"/>
      <c r="AN30" s="263"/>
      <c r="AO30" s="223"/>
      <c r="AP30" s="225"/>
      <c r="AQ30" s="38"/>
    </row>
    <row r="31" spans="1:43" s="24" customFormat="1" ht="20.25" customHeight="1" outlineLevel="1">
      <c r="A31" s="226">
        <v>2.1</v>
      </c>
      <c r="B31" s="227" t="s">
        <v>490</v>
      </c>
      <c r="C31" s="228" t="s">
        <v>491</v>
      </c>
      <c r="D31" s="147" t="s">
        <v>489</v>
      </c>
      <c r="E31" s="147">
        <v>2</v>
      </c>
      <c r="F31" s="230"/>
      <c r="G31" s="230"/>
      <c r="H31" s="230"/>
      <c r="I31" s="230"/>
      <c r="J31" s="110"/>
      <c r="K31" s="230"/>
      <c r="L31" s="230"/>
      <c r="M31" s="230"/>
      <c r="N31" s="232">
        <f>N32+N33</f>
        <v>0</v>
      </c>
      <c r="O31" s="232">
        <f>O32+O33</f>
        <v>0</v>
      </c>
      <c r="P31" s="232">
        <f t="shared" ref="P31:P69" si="12">N31+O31</f>
        <v>0</v>
      </c>
      <c r="Q31" s="232">
        <f>Q32+Q33</f>
        <v>0</v>
      </c>
      <c r="R31" s="232">
        <f>R32+R33</f>
        <v>0</v>
      </c>
      <c r="S31" s="232">
        <f>S32+S33</f>
        <v>0</v>
      </c>
      <c r="T31" s="232">
        <f t="shared" ref="T31:T69" si="13">R31+S31</f>
        <v>0</v>
      </c>
      <c r="U31" s="151" t="e">
        <f t="shared" si="2"/>
        <v>#DIV/0!</v>
      </c>
      <c r="V31" s="110">
        <f>V32+V33</f>
        <v>0</v>
      </c>
      <c r="W31" s="232">
        <f>W32+W33</f>
        <v>0</v>
      </c>
      <c r="X31" s="110">
        <f>X32+X33</f>
        <v>0</v>
      </c>
      <c r="Y31" s="151" t="e">
        <f t="shared" si="3"/>
        <v>#DIV/0!</v>
      </c>
      <c r="Z31" s="232">
        <f t="shared" si="4"/>
        <v>0</v>
      </c>
      <c r="AA31" s="232">
        <f>AA32+AA33</f>
        <v>0</v>
      </c>
      <c r="AB31" s="232">
        <f t="shared" si="11"/>
        <v>0</v>
      </c>
      <c r="AC31" s="232">
        <f t="shared" si="9"/>
        <v>0</v>
      </c>
      <c r="AD31" s="233">
        <f t="shared" si="5"/>
        <v>0</v>
      </c>
      <c r="AE31" s="234"/>
      <c r="AF31" s="234"/>
      <c r="AG31" s="232">
        <f>AG32+AG33</f>
        <v>0</v>
      </c>
      <c r="AH31" s="151" t="e">
        <f t="shared" si="6"/>
        <v>#DIV/0!</v>
      </c>
      <c r="AI31" s="232">
        <f>AI32+AI33</f>
        <v>0</v>
      </c>
      <c r="AJ31" s="151" t="e">
        <f t="shared" si="7"/>
        <v>#DIV/0!</v>
      </c>
      <c r="AK31" s="232">
        <f>AK32+AK33</f>
        <v>0</v>
      </c>
      <c r="AL31" s="232">
        <f>AL32+AL33</f>
        <v>0</v>
      </c>
      <c r="AM31" s="235"/>
      <c r="AN31" s="264"/>
      <c r="AO31" s="235"/>
      <c r="AP31" s="236"/>
      <c r="AQ31" s="39"/>
    </row>
    <row r="32" spans="1:43" s="24" customFormat="1" ht="20.25" customHeight="1" outlineLevel="2">
      <c r="A32" s="265" t="s">
        <v>492</v>
      </c>
      <c r="B32" s="266" t="s">
        <v>493</v>
      </c>
      <c r="C32" s="267" t="s">
        <v>494</v>
      </c>
      <c r="D32" s="147" t="s">
        <v>489</v>
      </c>
      <c r="E32" s="268">
        <v>3</v>
      </c>
      <c r="F32" s="112"/>
      <c r="G32" s="112"/>
      <c r="H32" s="112"/>
      <c r="I32" s="112"/>
      <c r="J32" s="269"/>
      <c r="K32" s="112"/>
      <c r="L32" s="112"/>
      <c r="M32" s="112"/>
      <c r="N32" s="101">
        <f>X32</f>
        <v>0</v>
      </c>
      <c r="O32" s="101"/>
      <c r="P32" s="101">
        <f t="shared" si="12"/>
        <v>0</v>
      </c>
      <c r="Q32" s="101"/>
      <c r="R32" s="101"/>
      <c r="S32" s="101"/>
      <c r="T32" s="101">
        <f t="shared" si="13"/>
        <v>0</v>
      </c>
      <c r="U32" s="243" t="e">
        <f t="shared" si="2"/>
        <v>#DIV/0!</v>
      </c>
      <c r="V32" s="253">
        <f>X32</f>
        <v>0</v>
      </c>
      <c r="W32" s="244"/>
      <c r="X32" s="253">
        <f>SUM(SUMIF(项目收支汇总表!A5:A306,{"4.2.1.1","4.2.1.2","4.2.1.3","4.2.1.5","4.2.1.6"},项目收支汇总表!C5:C306))</f>
        <v>0</v>
      </c>
      <c r="Y32" s="243" t="e">
        <f t="shared" si="3"/>
        <v>#DIV/0!</v>
      </c>
      <c r="Z32" s="244">
        <f t="shared" si="4"/>
        <v>0</v>
      </c>
      <c r="AA32" s="244"/>
      <c r="AB32" s="244">
        <f t="shared" si="11"/>
        <v>0</v>
      </c>
      <c r="AC32" s="244">
        <f t="shared" si="9"/>
        <v>0</v>
      </c>
      <c r="AD32" s="244">
        <f t="shared" si="5"/>
        <v>0</v>
      </c>
      <c r="AE32" s="253"/>
      <c r="AF32" s="253"/>
      <c r="AG32" s="253"/>
      <c r="AH32" s="243" t="e">
        <f t="shared" si="6"/>
        <v>#DIV/0!</v>
      </c>
      <c r="AI32" s="244"/>
      <c r="AJ32" s="243" t="e">
        <f t="shared" si="7"/>
        <v>#DIV/0!</v>
      </c>
      <c r="AK32" s="244"/>
      <c r="AL32" s="244"/>
      <c r="AM32" s="255"/>
      <c r="AN32" s="247"/>
      <c r="AO32" s="255"/>
      <c r="AP32" s="270"/>
      <c r="AQ32" s="41"/>
    </row>
    <row r="33" spans="1:43" s="24" customFormat="1" ht="20.25" customHeight="1" outlineLevel="2">
      <c r="A33" s="265" t="s">
        <v>492</v>
      </c>
      <c r="B33" s="271" t="s">
        <v>495</v>
      </c>
      <c r="C33" s="267" t="s">
        <v>496</v>
      </c>
      <c r="D33" s="147" t="s">
        <v>489</v>
      </c>
      <c r="E33" s="268">
        <v>3</v>
      </c>
      <c r="F33" s="112"/>
      <c r="G33" s="112"/>
      <c r="H33" s="112"/>
      <c r="I33" s="112"/>
      <c r="J33" s="269"/>
      <c r="K33" s="112"/>
      <c r="L33" s="112"/>
      <c r="M33" s="112"/>
      <c r="N33" s="101">
        <f>X33</f>
        <v>0</v>
      </c>
      <c r="O33" s="101"/>
      <c r="P33" s="101">
        <f t="shared" si="12"/>
        <v>0</v>
      </c>
      <c r="Q33" s="101"/>
      <c r="R33" s="101"/>
      <c r="S33" s="101"/>
      <c r="T33" s="101">
        <f t="shared" si="13"/>
        <v>0</v>
      </c>
      <c r="U33" s="243" t="e">
        <f t="shared" si="2"/>
        <v>#DIV/0!</v>
      </c>
      <c r="V33" s="253">
        <f>X33</f>
        <v>0</v>
      </c>
      <c r="W33" s="244"/>
      <c r="X33" s="253">
        <f>LOOKUP(1,0/(项目收支汇总表!A5:A306="4.2.1.4"),项目收支汇总表!C5:C306)</f>
        <v>0</v>
      </c>
      <c r="Y33" s="243" t="e">
        <f t="shared" si="3"/>
        <v>#DIV/0!</v>
      </c>
      <c r="Z33" s="244">
        <f t="shared" si="4"/>
        <v>0</v>
      </c>
      <c r="AA33" s="244"/>
      <c r="AB33" s="244">
        <f t="shared" si="11"/>
        <v>0</v>
      </c>
      <c r="AC33" s="244">
        <f t="shared" si="9"/>
        <v>0</v>
      </c>
      <c r="AD33" s="244">
        <f t="shared" si="5"/>
        <v>0</v>
      </c>
      <c r="AE33" s="253"/>
      <c r="AF33" s="253"/>
      <c r="AG33" s="253"/>
      <c r="AH33" s="243" t="e">
        <f t="shared" si="6"/>
        <v>#DIV/0!</v>
      </c>
      <c r="AI33" s="244"/>
      <c r="AJ33" s="243" t="e">
        <f t="shared" si="7"/>
        <v>#DIV/0!</v>
      </c>
      <c r="AK33" s="244"/>
      <c r="AL33" s="244"/>
      <c r="AM33" s="255"/>
      <c r="AN33" s="247"/>
      <c r="AO33" s="255"/>
      <c r="AP33" s="270"/>
      <c r="AQ33" s="41"/>
    </row>
    <row r="34" spans="1:43" s="24" customFormat="1" ht="20.25" customHeight="1" outlineLevel="1">
      <c r="A34" s="226">
        <v>2.2000000000000002</v>
      </c>
      <c r="B34" s="227" t="s">
        <v>497</v>
      </c>
      <c r="C34" s="228" t="s">
        <v>498</v>
      </c>
      <c r="D34" s="147" t="s">
        <v>489</v>
      </c>
      <c r="E34" s="147">
        <v>2</v>
      </c>
      <c r="F34" s="230"/>
      <c r="G34" s="230"/>
      <c r="H34" s="230"/>
      <c r="I34" s="230"/>
      <c r="J34" s="110"/>
      <c r="K34" s="230"/>
      <c r="L34" s="230"/>
      <c r="M34" s="230"/>
      <c r="N34" s="232">
        <f>SUM(N35:N52)</f>
        <v>0</v>
      </c>
      <c r="O34" s="232">
        <f>SUM(O35:O52)</f>
        <v>0</v>
      </c>
      <c r="P34" s="232">
        <f t="shared" si="12"/>
        <v>0</v>
      </c>
      <c r="Q34" s="232">
        <f>SUM(Q35:Q52)</f>
        <v>0</v>
      </c>
      <c r="R34" s="232">
        <f>SUM(R35:R52)</f>
        <v>0</v>
      </c>
      <c r="S34" s="232">
        <f>SUM(S35:S52)</f>
        <v>0</v>
      </c>
      <c r="T34" s="232">
        <f t="shared" si="13"/>
        <v>0</v>
      </c>
      <c r="U34" s="151" t="e">
        <f t="shared" si="2"/>
        <v>#DIV/0!</v>
      </c>
      <c r="V34" s="110">
        <f>SUM(V35:V52)</f>
        <v>0</v>
      </c>
      <c r="W34" s="232">
        <f>SUM(W35:W52)</f>
        <v>0</v>
      </c>
      <c r="X34" s="110">
        <f>SUM(X35:X52)</f>
        <v>0</v>
      </c>
      <c r="Y34" s="151" t="e">
        <f t="shared" si="3"/>
        <v>#DIV/0!</v>
      </c>
      <c r="Z34" s="232">
        <f t="shared" si="4"/>
        <v>0</v>
      </c>
      <c r="AA34" s="232">
        <f>SUM(AA35:AA52)</f>
        <v>0</v>
      </c>
      <c r="AB34" s="232">
        <f t="shared" si="11"/>
        <v>0</v>
      </c>
      <c r="AC34" s="232">
        <f t="shared" si="9"/>
        <v>0</v>
      </c>
      <c r="AD34" s="233">
        <f t="shared" si="5"/>
        <v>0</v>
      </c>
      <c r="AE34" s="234"/>
      <c r="AF34" s="234"/>
      <c r="AG34" s="232">
        <f>SUM(AG35:AG52)</f>
        <v>0</v>
      </c>
      <c r="AH34" s="151" t="e">
        <f t="shared" si="6"/>
        <v>#DIV/0!</v>
      </c>
      <c r="AI34" s="232">
        <f>SUM(AI35:AI52)</f>
        <v>0</v>
      </c>
      <c r="AJ34" s="151" t="e">
        <f t="shared" si="7"/>
        <v>#DIV/0!</v>
      </c>
      <c r="AK34" s="232">
        <f>SUM(AK35:AK52)</f>
        <v>0</v>
      </c>
      <c r="AL34" s="232">
        <f>SUM(AL35:AL52)</f>
        <v>0</v>
      </c>
      <c r="AM34" s="235"/>
      <c r="AN34" s="264"/>
      <c r="AO34" s="235"/>
      <c r="AP34" s="236"/>
      <c r="AQ34" s="39"/>
    </row>
    <row r="35" spans="1:43" s="24" customFormat="1" ht="20.25" customHeight="1" outlineLevel="2">
      <c r="A35" s="272" t="s">
        <v>499</v>
      </c>
      <c r="B35" s="273" t="s">
        <v>500</v>
      </c>
      <c r="C35" s="274" t="s">
        <v>501</v>
      </c>
      <c r="D35" s="147" t="s">
        <v>489</v>
      </c>
      <c r="E35" s="268">
        <v>3</v>
      </c>
      <c r="F35" s="112"/>
      <c r="G35" s="112"/>
      <c r="H35" s="112"/>
      <c r="I35" s="112"/>
      <c r="J35" s="269"/>
      <c r="K35" s="112"/>
      <c r="L35" s="112"/>
      <c r="M35" s="112"/>
      <c r="N35" s="101">
        <f t="shared" ref="N35:N56" si="14">X35</f>
        <v>0</v>
      </c>
      <c r="O35" s="101"/>
      <c r="P35" s="101">
        <f t="shared" si="12"/>
        <v>0</v>
      </c>
      <c r="Q35" s="101"/>
      <c r="R35" s="101"/>
      <c r="S35" s="101"/>
      <c r="T35" s="101">
        <f t="shared" si="13"/>
        <v>0</v>
      </c>
      <c r="U35" s="243" t="e">
        <f t="shared" si="2"/>
        <v>#DIV/0!</v>
      </c>
      <c r="V35" s="253">
        <f t="shared" ref="V35:V56" si="15">X35</f>
        <v>0</v>
      </c>
      <c r="W35" s="244"/>
      <c r="X35" s="253">
        <f>LOOKUP(1,0/(项目收支汇总表!A5:A306="4.2.1.7"),项目收支汇总表!C5:C306)</f>
        <v>0</v>
      </c>
      <c r="Y35" s="243" t="e">
        <f t="shared" si="3"/>
        <v>#DIV/0!</v>
      </c>
      <c r="Z35" s="244">
        <f t="shared" si="4"/>
        <v>0</v>
      </c>
      <c r="AA35" s="244"/>
      <c r="AB35" s="244">
        <f t="shared" si="11"/>
        <v>0</v>
      </c>
      <c r="AC35" s="244">
        <f t="shared" si="9"/>
        <v>0</v>
      </c>
      <c r="AD35" s="244">
        <f t="shared" si="5"/>
        <v>0</v>
      </c>
      <c r="AE35" s="253"/>
      <c r="AF35" s="253"/>
      <c r="AG35" s="244"/>
      <c r="AH35" s="243" t="e">
        <f t="shared" si="6"/>
        <v>#DIV/0!</v>
      </c>
      <c r="AI35" s="244"/>
      <c r="AJ35" s="243" t="e">
        <f t="shared" si="7"/>
        <v>#DIV/0!</v>
      </c>
      <c r="AK35" s="244"/>
      <c r="AL35" s="244"/>
      <c r="AM35" s="255"/>
      <c r="AN35" s="247"/>
      <c r="AO35" s="255"/>
      <c r="AP35" s="270"/>
      <c r="AQ35" s="41"/>
    </row>
    <row r="36" spans="1:43" s="24" customFormat="1" ht="20.25" customHeight="1" outlineLevel="2">
      <c r="A36" s="272" t="s">
        <v>502</v>
      </c>
      <c r="B36" s="273" t="s">
        <v>503</v>
      </c>
      <c r="C36" s="274" t="s">
        <v>504</v>
      </c>
      <c r="D36" s="147" t="s">
        <v>489</v>
      </c>
      <c r="E36" s="268">
        <v>3</v>
      </c>
      <c r="F36" s="112"/>
      <c r="G36" s="112"/>
      <c r="H36" s="112"/>
      <c r="I36" s="112"/>
      <c r="J36" s="269"/>
      <c r="K36" s="112"/>
      <c r="L36" s="112"/>
      <c r="M36" s="112"/>
      <c r="N36" s="101">
        <f t="shared" si="14"/>
        <v>0</v>
      </c>
      <c r="O36" s="101"/>
      <c r="P36" s="101">
        <f t="shared" si="12"/>
        <v>0</v>
      </c>
      <c r="Q36" s="101"/>
      <c r="R36" s="101"/>
      <c r="S36" s="101"/>
      <c r="T36" s="101">
        <f t="shared" si="13"/>
        <v>0</v>
      </c>
      <c r="U36" s="243" t="e">
        <f t="shared" si="2"/>
        <v>#DIV/0!</v>
      </c>
      <c r="V36" s="253">
        <f t="shared" si="15"/>
        <v>0</v>
      </c>
      <c r="W36" s="244"/>
      <c r="X36" s="253">
        <f>LOOKUP(1,0/(项目收支汇总表!A5:A306="4.2.1.8"),项目收支汇总表!C5:C306)</f>
        <v>0</v>
      </c>
      <c r="Y36" s="243" t="e">
        <f t="shared" si="3"/>
        <v>#DIV/0!</v>
      </c>
      <c r="Z36" s="244">
        <f t="shared" si="4"/>
        <v>0</v>
      </c>
      <c r="AA36" s="244"/>
      <c r="AB36" s="244">
        <f t="shared" si="11"/>
        <v>0</v>
      </c>
      <c r="AC36" s="244">
        <f t="shared" si="9"/>
        <v>0</v>
      </c>
      <c r="AD36" s="244">
        <f t="shared" si="5"/>
        <v>0</v>
      </c>
      <c r="AE36" s="253"/>
      <c r="AF36" s="253"/>
      <c r="AG36" s="244"/>
      <c r="AH36" s="243" t="e">
        <f t="shared" si="6"/>
        <v>#DIV/0!</v>
      </c>
      <c r="AI36" s="244"/>
      <c r="AJ36" s="243" t="e">
        <f t="shared" si="7"/>
        <v>#DIV/0!</v>
      </c>
      <c r="AK36" s="244"/>
      <c r="AL36" s="244"/>
      <c r="AM36" s="255"/>
      <c r="AN36" s="247"/>
      <c r="AO36" s="255"/>
      <c r="AP36" s="270"/>
      <c r="AQ36" s="41"/>
    </row>
    <row r="37" spans="1:43" s="24" customFormat="1" ht="20.25" customHeight="1" outlineLevel="2">
      <c r="A37" s="272" t="s">
        <v>505</v>
      </c>
      <c r="B37" s="275" t="s">
        <v>506</v>
      </c>
      <c r="C37" s="274" t="s">
        <v>507</v>
      </c>
      <c r="D37" s="147" t="s">
        <v>489</v>
      </c>
      <c r="E37" s="268">
        <v>3</v>
      </c>
      <c r="F37" s="112"/>
      <c r="G37" s="112"/>
      <c r="H37" s="112"/>
      <c r="I37" s="112"/>
      <c r="J37" s="269"/>
      <c r="K37" s="112"/>
      <c r="L37" s="112"/>
      <c r="M37" s="112"/>
      <c r="N37" s="101">
        <f t="shared" si="14"/>
        <v>0</v>
      </c>
      <c r="O37" s="101"/>
      <c r="P37" s="101">
        <f t="shared" si="12"/>
        <v>0</v>
      </c>
      <c r="Q37" s="101"/>
      <c r="R37" s="101"/>
      <c r="S37" s="101"/>
      <c r="T37" s="101">
        <f t="shared" si="13"/>
        <v>0</v>
      </c>
      <c r="U37" s="243" t="e">
        <f t="shared" si="2"/>
        <v>#DIV/0!</v>
      </c>
      <c r="V37" s="253">
        <f t="shared" si="15"/>
        <v>0</v>
      </c>
      <c r="W37" s="244"/>
      <c r="X37" s="253">
        <f>LOOKUP(1,0/(项目收支汇总表!A5:A306="4.2.1.9"),项目收支汇总表!C5:C306)</f>
        <v>0</v>
      </c>
      <c r="Y37" s="243" t="e">
        <f t="shared" si="3"/>
        <v>#DIV/0!</v>
      </c>
      <c r="Z37" s="244">
        <f t="shared" si="4"/>
        <v>0</v>
      </c>
      <c r="AA37" s="244"/>
      <c r="AB37" s="244">
        <f t="shared" si="11"/>
        <v>0</v>
      </c>
      <c r="AC37" s="244">
        <f t="shared" si="9"/>
        <v>0</v>
      </c>
      <c r="AD37" s="244">
        <f t="shared" si="5"/>
        <v>0</v>
      </c>
      <c r="AE37" s="253"/>
      <c r="AF37" s="253"/>
      <c r="AG37" s="244"/>
      <c r="AH37" s="243" t="e">
        <f t="shared" si="6"/>
        <v>#DIV/0!</v>
      </c>
      <c r="AI37" s="244"/>
      <c r="AJ37" s="243" t="e">
        <f t="shared" si="7"/>
        <v>#DIV/0!</v>
      </c>
      <c r="AK37" s="244"/>
      <c r="AL37" s="244"/>
      <c r="AM37" s="255"/>
      <c r="AN37" s="247"/>
      <c r="AO37" s="255"/>
      <c r="AP37" s="270"/>
      <c r="AQ37" s="41"/>
    </row>
    <row r="38" spans="1:43" s="24" customFormat="1" ht="20.25" customHeight="1" outlineLevel="2">
      <c r="A38" s="272" t="s">
        <v>508</v>
      </c>
      <c r="B38" s="275" t="s">
        <v>509</v>
      </c>
      <c r="C38" s="274" t="s">
        <v>510</v>
      </c>
      <c r="D38" s="147" t="s">
        <v>489</v>
      </c>
      <c r="E38" s="268">
        <v>3</v>
      </c>
      <c r="F38" s="112"/>
      <c r="G38" s="112"/>
      <c r="H38" s="112"/>
      <c r="I38" s="112"/>
      <c r="J38" s="269"/>
      <c r="K38" s="112"/>
      <c r="L38" s="112"/>
      <c r="M38" s="112"/>
      <c r="N38" s="101">
        <f t="shared" si="14"/>
        <v>0</v>
      </c>
      <c r="O38" s="101"/>
      <c r="P38" s="101">
        <f t="shared" si="12"/>
        <v>0</v>
      </c>
      <c r="Q38" s="101"/>
      <c r="R38" s="101"/>
      <c r="S38" s="101"/>
      <c r="T38" s="101">
        <f t="shared" si="13"/>
        <v>0</v>
      </c>
      <c r="U38" s="243" t="e">
        <f t="shared" si="2"/>
        <v>#DIV/0!</v>
      </c>
      <c r="V38" s="253">
        <f t="shared" si="15"/>
        <v>0</v>
      </c>
      <c r="W38" s="244"/>
      <c r="X38" s="253">
        <f>LOOKUP(1,0/(项目收支汇总表!A5:A306="4.2.1.10"),项目收支汇总表!C5:C306)</f>
        <v>0</v>
      </c>
      <c r="Y38" s="243" t="e">
        <f t="shared" si="3"/>
        <v>#DIV/0!</v>
      </c>
      <c r="Z38" s="244">
        <f t="shared" si="4"/>
        <v>0</v>
      </c>
      <c r="AA38" s="244"/>
      <c r="AB38" s="244">
        <f t="shared" si="11"/>
        <v>0</v>
      </c>
      <c r="AC38" s="244">
        <f t="shared" si="9"/>
        <v>0</v>
      </c>
      <c r="AD38" s="244">
        <f t="shared" si="5"/>
        <v>0</v>
      </c>
      <c r="AE38" s="253"/>
      <c r="AF38" s="253"/>
      <c r="AG38" s="244"/>
      <c r="AH38" s="243" t="e">
        <f t="shared" si="6"/>
        <v>#DIV/0!</v>
      </c>
      <c r="AI38" s="244"/>
      <c r="AJ38" s="243" t="e">
        <f t="shared" si="7"/>
        <v>#DIV/0!</v>
      </c>
      <c r="AK38" s="244"/>
      <c r="AL38" s="244"/>
      <c r="AM38" s="255"/>
      <c r="AN38" s="247"/>
      <c r="AO38" s="255"/>
      <c r="AP38" s="270"/>
      <c r="AQ38" s="41"/>
    </row>
    <row r="39" spans="1:43" s="24" customFormat="1" ht="20.25" customHeight="1" outlineLevel="2">
      <c r="A39" s="272" t="s">
        <v>511</v>
      </c>
      <c r="B39" s="271" t="s">
        <v>512</v>
      </c>
      <c r="C39" s="267" t="s">
        <v>513</v>
      </c>
      <c r="D39" s="147" t="s">
        <v>489</v>
      </c>
      <c r="E39" s="268">
        <v>3</v>
      </c>
      <c r="F39" s="112"/>
      <c r="G39" s="112"/>
      <c r="H39" s="112"/>
      <c r="I39" s="112"/>
      <c r="J39" s="269"/>
      <c r="K39" s="112"/>
      <c r="L39" s="112"/>
      <c r="M39" s="112"/>
      <c r="N39" s="101">
        <f t="shared" si="14"/>
        <v>0</v>
      </c>
      <c r="O39" s="101"/>
      <c r="P39" s="101">
        <f t="shared" si="12"/>
        <v>0</v>
      </c>
      <c r="Q39" s="101"/>
      <c r="R39" s="101"/>
      <c r="S39" s="101"/>
      <c r="T39" s="101">
        <f t="shared" si="13"/>
        <v>0</v>
      </c>
      <c r="U39" s="243" t="e">
        <f t="shared" ref="U39:U69" si="16">N39/P39</f>
        <v>#DIV/0!</v>
      </c>
      <c r="V39" s="253">
        <f t="shared" si="15"/>
        <v>0</v>
      </c>
      <c r="W39" s="244"/>
      <c r="X39" s="253">
        <f>LOOKUP(1,0/(项目收支汇总表!A5:A306="4.2.1.11"),项目收支汇总表!C5:C306)</f>
        <v>0</v>
      </c>
      <c r="Y39" s="243" t="e">
        <f t="shared" ref="Y39:Y70" si="17">X39/N39</f>
        <v>#DIV/0!</v>
      </c>
      <c r="Z39" s="244">
        <f t="shared" ref="Z39:Z69" si="18">V39-X39</f>
        <v>0</v>
      </c>
      <c r="AA39" s="244"/>
      <c r="AB39" s="244">
        <f t="shared" si="11"/>
        <v>0</v>
      </c>
      <c r="AC39" s="244">
        <f t="shared" si="9"/>
        <v>0</v>
      </c>
      <c r="AD39" s="244">
        <f t="shared" ref="AD39:AD70" si="19">AB39+AC39</f>
        <v>0</v>
      </c>
      <c r="AE39" s="253"/>
      <c r="AF39" s="253"/>
      <c r="AG39" s="244"/>
      <c r="AH39" s="243" t="e">
        <f t="shared" ref="AH39:AH70" si="20">(X39+AG39)/N39</f>
        <v>#DIV/0!</v>
      </c>
      <c r="AI39" s="244"/>
      <c r="AJ39" s="243" t="e">
        <f t="shared" ref="AJ39:AJ70" si="21">(X39+AI39)/N39</f>
        <v>#DIV/0!</v>
      </c>
      <c r="AK39" s="244"/>
      <c r="AL39" s="244"/>
      <c r="AM39" s="255"/>
      <c r="AN39" s="247"/>
      <c r="AO39" s="255"/>
      <c r="AP39" s="270"/>
      <c r="AQ39" s="41"/>
    </row>
    <row r="40" spans="1:43" s="24" customFormat="1" ht="20.25" customHeight="1" outlineLevel="2">
      <c r="A40" s="272" t="s">
        <v>514</v>
      </c>
      <c r="B40" s="271" t="s">
        <v>515</v>
      </c>
      <c r="C40" s="267" t="s">
        <v>516</v>
      </c>
      <c r="D40" s="147" t="s">
        <v>489</v>
      </c>
      <c r="E40" s="268">
        <v>3</v>
      </c>
      <c r="F40" s="112"/>
      <c r="G40" s="112"/>
      <c r="H40" s="112"/>
      <c r="I40" s="112"/>
      <c r="J40" s="269"/>
      <c r="K40" s="112"/>
      <c r="L40" s="112"/>
      <c r="M40" s="112"/>
      <c r="N40" s="101">
        <f t="shared" si="14"/>
        <v>0</v>
      </c>
      <c r="O40" s="101"/>
      <c r="P40" s="101">
        <f t="shared" si="12"/>
        <v>0</v>
      </c>
      <c r="Q40" s="101"/>
      <c r="R40" s="101"/>
      <c r="S40" s="101"/>
      <c r="T40" s="101">
        <f t="shared" si="13"/>
        <v>0</v>
      </c>
      <c r="U40" s="243" t="e">
        <f t="shared" si="16"/>
        <v>#DIV/0!</v>
      </c>
      <c r="V40" s="253">
        <f t="shared" si="15"/>
        <v>0</v>
      </c>
      <c r="W40" s="244"/>
      <c r="X40" s="253">
        <f>LOOKUP(1,0/(项目收支汇总表!A5:A306="4.2.1.12"),项目收支汇总表!C5:C306)</f>
        <v>0</v>
      </c>
      <c r="Y40" s="243" t="e">
        <f t="shared" si="17"/>
        <v>#DIV/0!</v>
      </c>
      <c r="Z40" s="244">
        <f t="shared" si="18"/>
        <v>0</v>
      </c>
      <c r="AA40" s="244"/>
      <c r="AB40" s="244">
        <f t="shared" si="11"/>
        <v>0</v>
      </c>
      <c r="AC40" s="244">
        <f t="shared" si="9"/>
        <v>0</v>
      </c>
      <c r="AD40" s="244">
        <f t="shared" si="19"/>
        <v>0</v>
      </c>
      <c r="AE40" s="253"/>
      <c r="AF40" s="253"/>
      <c r="AG40" s="244"/>
      <c r="AH40" s="243" t="e">
        <f t="shared" si="20"/>
        <v>#DIV/0!</v>
      </c>
      <c r="AI40" s="244"/>
      <c r="AJ40" s="243" t="e">
        <f t="shared" si="21"/>
        <v>#DIV/0!</v>
      </c>
      <c r="AK40" s="244"/>
      <c r="AL40" s="244"/>
      <c r="AM40" s="255"/>
      <c r="AN40" s="247"/>
      <c r="AO40" s="255"/>
      <c r="AP40" s="270"/>
      <c r="AQ40" s="41"/>
    </row>
    <row r="41" spans="1:43" s="24" customFormat="1" ht="20.25" customHeight="1" outlineLevel="2">
      <c r="A41" s="272" t="s">
        <v>517</v>
      </c>
      <c r="B41" s="273" t="s">
        <v>518</v>
      </c>
      <c r="C41" s="274" t="s">
        <v>519</v>
      </c>
      <c r="D41" s="147" t="s">
        <v>489</v>
      </c>
      <c r="E41" s="268">
        <v>3</v>
      </c>
      <c r="F41" s="112"/>
      <c r="G41" s="112"/>
      <c r="H41" s="112"/>
      <c r="I41" s="112"/>
      <c r="J41" s="269"/>
      <c r="K41" s="112"/>
      <c r="L41" s="112"/>
      <c r="M41" s="112"/>
      <c r="N41" s="101">
        <f t="shared" si="14"/>
        <v>0</v>
      </c>
      <c r="O41" s="101"/>
      <c r="P41" s="101">
        <f t="shared" si="12"/>
        <v>0</v>
      </c>
      <c r="Q41" s="101"/>
      <c r="R41" s="101"/>
      <c r="S41" s="101"/>
      <c r="T41" s="101">
        <f t="shared" si="13"/>
        <v>0</v>
      </c>
      <c r="U41" s="243" t="e">
        <f t="shared" si="16"/>
        <v>#DIV/0!</v>
      </c>
      <c r="V41" s="253">
        <f t="shared" si="15"/>
        <v>0</v>
      </c>
      <c r="W41" s="244"/>
      <c r="X41" s="253">
        <f>LOOKUP(1,0/(项目收支汇总表!A5:A306="4.2.1.13"),项目收支汇总表!C5:C306)</f>
        <v>0</v>
      </c>
      <c r="Y41" s="243" t="e">
        <f t="shared" si="17"/>
        <v>#DIV/0!</v>
      </c>
      <c r="Z41" s="244">
        <f t="shared" si="18"/>
        <v>0</v>
      </c>
      <c r="AA41" s="244"/>
      <c r="AB41" s="244">
        <f t="shared" si="11"/>
        <v>0</v>
      </c>
      <c r="AC41" s="244">
        <f t="shared" si="9"/>
        <v>0</v>
      </c>
      <c r="AD41" s="244">
        <f t="shared" si="19"/>
        <v>0</v>
      </c>
      <c r="AE41" s="253"/>
      <c r="AF41" s="253"/>
      <c r="AG41" s="244"/>
      <c r="AH41" s="243" t="e">
        <f t="shared" si="20"/>
        <v>#DIV/0!</v>
      </c>
      <c r="AI41" s="244"/>
      <c r="AJ41" s="243" t="e">
        <f t="shared" si="21"/>
        <v>#DIV/0!</v>
      </c>
      <c r="AK41" s="244"/>
      <c r="AL41" s="244"/>
      <c r="AM41" s="255"/>
      <c r="AN41" s="247"/>
      <c r="AO41" s="255"/>
      <c r="AP41" s="270"/>
      <c r="AQ41" s="41"/>
    </row>
    <row r="42" spans="1:43" s="24" customFormat="1" ht="20.25" customHeight="1" outlineLevel="2">
      <c r="A42" s="272" t="s">
        <v>520</v>
      </c>
      <c r="B42" s="271" t="s">
        <v>521</v>
      </c>
      <c r="C42" s="267" t="s">
        <v>522</v>
      </c>
      <c r="D42" s="147" t="s">
        <v>489</v>
      </c>
      <c r="E42" s="268">
        <v>3</v>
      </c>
      <c r="F42" s="112"/>
      <c r="G42" s="112"/>
      <c r="H42" s="112"/>
      <c r="I42" s="112"/>
      <c r="J42" s="269"/>
      <c r="K42" s="112"/>
      <c r="L42" s="112"/>
      <c r="M42" s="112"/>
      <c r="N42" s="101">
        <f t="shared" si="14"/>
        <v>0</v>
      </c>
      <c r="O42" s="101"/>
      <c r="P42" s="101">
        <f t="shared" si="12"/>
        <v>0</v>
      </c>
      <c r="Q42" s="101"/>
      <c r="R42" s="101"/>
      <c r="S42" s="101"/>
      <c r="T42" s="101">
        <f t="shared" si="13"/>
        <v>0</v>
      </c>
      <c r="U42" s="243" t="e">
        <f t="shared" si="16"/>
        <v>#DIV/0!</v>
      </c>
      <c r="V42" s="253">
        <f t="shared" si="15"/>
        <v>0</v>
      </c>
      <c r="W42" s="244"/>
      <c r="X42" s="253">
        <f>LOOKUP(1,0/(项目收支汇总表!A5:A306="4.2.1.15"),项目收支汇总表!C5:C306)</f>
        <v>0</v>
      </c>
      <c r="Y42" s="243" t="e">
        <f t="shared" si="17"/>
        <v>#DIV/0!</v>
      </c>
      <c r="Z42" s="244">
        <f t="shared" si="18"/>
        <v>0</v>
      </c>
      <c r="AA42" s="244"/>
      <c r="AB42" s="244">
        <f t="shared" si="11"/>
        <v>0</v>
      </c>
      <c r="AC42" s="244">
        <f t="shared" si="9"/>
        <v>0</v>
      </c>
      <c r="AD42" s="244">
        <f t="shared" si="19"/>
        <v>0</v>
      </c>
      <c r="AE42" s="253"/>
      <c r="AF42" s="253"/>
      <c r="AG42" s="244"/>
      <c r="AH42" s="243" t="e">
        <f t="shared" si="20"/>
        <v>#DIV/0!</v>
      </c>
      <c r="AI42" s="244"/>
      <c r="AJ42" s="243" t="e">
        <f t="shared" si="21"/>
        <v>#DIV/0!</v>
      </c>
      <c r="AK42" s="244"/>
      <c r="AL42" s="244"/>
      <c r="AM42" s="255"/>
      <c r="AN42" s="247"/>
      <c r="AO42" s="255"/>
      <c r="AP42" s="270"/>
      <c r="AQ42" s="41"/>
    </row>
    <row r="43" spans="1:43" s="24" customFormat="1" ht="20.25" customHeight="1" outlineLevel="2">
      <c r="A43" s="272" t="s">
        <v>523</v>
      </c>
      <c r="B43" s="273" t="s">
        <v>524</v>
      </c>
      <c r="C43" s="274" t="s">
        <v>525</v>
      </c>
      <c r="D43" s="147" t="s">
        <v>489</v>
      </c>
      <c r="E43" s="268">
        <v>3</v>
      </c>
      <c r="F43" s="112"/>
      <c r="G43" s="112"/>
      <c r="H43" s="112"/>
      <c r="I43" s="112"/>
      <c r="J43" s="269"/>
      <c r="K43" s="112"/>
      <c r="L43" s="112"/>
      <c r="M43" s="112"/>
      <c r="N43" s="101">
        <f t="shared" si="14"/>
        <v>0</v>
      </c>
      <c r="O43" s="101"/>
      <c r="P43" s="101">
        <f t="shared" si="12"/>
        <v>0</v>
      </c>
      <c r="Q43" s="101"/>
      <c r="R43" s="101"/>
      <c r="S43" s="101"/>
      <c r="T43" s="101">
        <f t="shared" si="13"/>
        <v>0</v>
      </c>
      <c r="U43" s="243" t="e">
        <f t="shared" si="16"/>
        <v>#DIV/0!</v>
      </c>
      <c r="V43" s="253">
        <f t="shared" si="15"/>
        <v>0</v>
      </c>
      <c r="W43" s="244"/>
      <c r="X43" s="253">
        <f>LOOKUP(1,0/(项目收支汇总表!A5:A306="4.2.1.16"),项目收支汇总表!C5:C306)</f>
        <v>0</v>
      </c>
      <c r="Y43" s="243" t="e">
        <f t="shared" si="17"/>
        <v>#DIV/0!</v>
      </c>
      <c r="Z43" s="244">
        <f t="shared" si="18"/>
        <v>0</v>
      </c>
      <c r="AA43" s="244"/>
      <c r="AB43" s="244">
        <f t="shared" si="11"/>
        <v>0</v>
      </c>
      <c r="AC43" s="244">
        <f t="shared" si="9"/>
        <v>0</v>
      </c>
      <c r="AD43" s="244">
        <f t="shared" si="19"/>
        <v>0</v>
      </c>
      <c r="AE43" s="253"/>
      <c r="AF43" s="253"/>
      <c r="AG43" s="244"/>
      <c r="AH43" s="243" t="e">
        <f t="shared" si="20"/>
        <v>#DIV/0!</v>
      </c>
      <c r="AI43" s="244"/>
      <c r="AJ43" s="243" t="e">
        <f t="shared" si="21"/>
        <v>#DIV/0!</v>
      </c>
      <c r="AK43" s="244"/>
      <c r="AL43" s="244"/>
      <c r="AM43" s="255"/>
      <c r="AN43" s="247"/>
      <c r="AO43" s="255"/>
      <c r="AP43" s="270"/>
      <c r="AQ43" s="41"/>
    </row>
    <row r="44" spans="1:43" s="24" customFormat="1" ht="20.25" customHeight="1" outlineLevel="2">
      <c r="A44" s="272" t="s">
        <v>526</v>
      </c>
      <c r="B44" s="273" t="s">
        <v>527</v>
      </c>
      <c r="C44" s="274" t="s">
        <v>528</v>
      </c>
      <c r="D44" s="147" t="s">
        <v>489</v>
      </c>
      <c r="E44" s="268">
        <v>3</v>
      </c>
      <c r="F44" s="112"/>
      <c r="G44" s="112"/>
      <c r="H44" s="112"/>
      <c r="I44" s="112"/>
      <c r="J44" s="269"/>
      <c r="K44" s="112"/>
      <c r="L44" s="112"/>
      <c r="M44" s="112"/>
      <c r="N44" s="101">
        <f t="shared" si="14"/>
        <v>0</v>
      </c>
      <c r="O44" s="101"/>
      <c r="P44" s="101">
        <f t="shared" si="12"/>
        <v>0</v>
      </c>
      <c r="Q44" s="101"/>
      <c r="R44" s="101"/>
      <c r="S44" s="101"/>
      <c r="T44" s="101">
        <f t="shared" si="13"/>
        <v>0</v>
      </c>
      <c r="U44" s="243" t="e">
        <f t="shared" si="16"/>
        <v>#DIV/0!</v>
      </c>
      <c r="V44" s="253">
        <f t="shared" si="15"/>
        <v>0</v>
      </c>
      <c r="W44" s="244"/>
      <c r="X44" s="253">
        <f>LOOKUP(1,0/(项目收支汇总表!A5:A306="4.2.1.17"),项目收支汇总表!C5:C306)</f>
        <v>0</v>
      </c>
      <c r="Y44" s="243" t="e">
        <f t="shared" si="17"/>
        <v>#DIV/0!</v>
      </c>
      <c r="Z44" s="244">
        <f t="shared" si="18"/>
        <v>0</v>
      </c>
      <c r="AA44" s="244"/>
      <c r="AB44" s="244">
        <f t="shared" si="11"/>
        <v>0</v>
      </c>
      <c r="AC44" s="244">
        <f t="shared" si="9"/>
        <v>0</v>
      </c>
      <c r="AD44" s="244">
        <f t="shared" si="19"/>
        <v>0</v>
      </c>
      <c r="AE44" s="253"/>
      <c r="AF44" s="253"/>
      <c r="AG44" s="244"/>
      <c r="AH44" s="243" t="e">
        <f t="shared" si="20"/>
        <v>#DIV/0!</v>
      </c>
      <c r="AI44" s="244"/>
      <c r="AJ44" s="243" t="e">
        <f t="shared" si="21"/>
        <v>#DIV/0!</v>
      </c>
      <c r="AK44" s="244"/>
      <c r="AL44" s="244"/>
      <c r="AM44" s="255"/>
      <c r="AN44" s="247"/>
      <c r="AO44" s="255"/>
      <c r="AP44" s="270"/>
      <c r="AQ44" s="41"/>
    </row>
    <row r="45" spans="1:43" s="24" customFormat="1" ht="20.25" customHeight="1" outlineLevel="2">
      <c r="A45" s="272" t="s">
        <v>529</v>
      </c>
      <c r="B45" s="273" t="s">
        <v>530</v>
      </c>
      <c r="C45" s="274" t="s">
        <v>531</v>
      </c>
      <c r="D45" s="147" t="s">
        <v>489</v>
      </c>
      <c r="E45" s="268">
        <v>3</v>
      </c>
      <c r="F45" s="112"/>
      <c r="G45" s="112"/>
      <c r="H45" s="112"/>
      <c r="I45" s="112"/>
      <c r="J45" s="269"/>
      <c r="K45" s="112"/>
      <c r="L45" s="112"/>
      <c r="M45" s="112"/>
      <c r="N45" s="101">
        <f t="shared" si="14"/>
        <v>0</v>
      </c>
      <c r="O45" s="101"/>
      <c r="P45" s="101">
        <f t="shared" si="12"/>
        <v>0</v>
      </c>
      <c r="Q45" s="101"/>
      <c r="R45" s="101"/>
      <c r="S45" s="101"/>
      <c r="T45" s="101">
        <f t="shared" si="13"/>
        <v>0</v>
      </c>
      <c r="U45" s="243" t="e">
        <f t="shared" si="16"/>
        <v>#DIV/0!</v>
      </c>
      <c r="V45" s="253">
        <f t="shared" si="15"/>
        <v>0</v>
      </c>
      <c r="W45" s="244"/>
      <c r="X45" s="253">
        <f>LOOKUP(1,0/(项目收支汇总表!A5:A306="4.2.1.18"),项目收支汇总表!C5:C306)</f>
        <v>0</v>
      </c>
      <c r="Y45" s="243" t="e">
        <f t="shared" si="17"/>
        <v>#DIV/0!</v>
      </c>
      <c r="Z45" s="244">
        <f t="shared" si="18"/>
        <v>0</v>
      </c>
      <c r="AA45" s="244"/>
      <c r="AB45" s="244">
        <f t="shared" si="11"/>
        <v>0</v>
      </c>
      <c r="AC45" s="244">
        <f t="shared" si="9"/>
        <v>0</v>
      </c>
      <c r="AD45" s="244">
        <f t="shared" si="19"/>
        <v>0</v>
      </c>
      <c r="AE45" s="253"/>
      <c r="AF45" s="253"/>
      <c r="AG45" s="244"/>
      <c r="AH45" s="243" t="e">
        <f t="shared" si="20"/>
        <v>#DIV/0!</v>
      </c>
      <c r="AI45" s="244"/>
      <c r="AJ45" s="243" t="e">
        <f t="shared" si="21"/>
        <v>#DIV/0!</v>
      </c>
      <c r="AK45" s="244"/>
      <c r="AL45" s="244"/>
      <c r="AM45" s="255"/>
      <c r="AN45" s="247"/>
      <c r="AO45" s="255"/>
      <c r="AP45" s="270"/>
      <c r="AQ45" s="41"/>
    </row>
    <row r="46" spans="1:43" s="24" customFormat="1" ht="20.25" customHeight="1" outlineLevel="2">
      <c r="A46" s="272" t="s">
        <v>532</v>
      </c>
      <c r="B46" s="273" t="s">
        <v>533</v>
      </c>
      <c r="C46" s="274" t="s">
        <v>534</v>
      </c>
      <c r="D46" s="147" t="s">
        <v>489</v>
      </c>
      <c r="E46" s="268">
        <v>3</v>
      </c>
      <c r="F46" s="112"/>
      <c r="G46" s="112"/>
      <c r="H46" s="112"/>
      <c r="I46" s="112"/>
      <c r="J46" s="269"/>
      <c r="K46" s="112"/>
      <c r="L46" s="112"/>
      <c r="M46" s="112"/>
      <c r="N46" s="101">
        <f t="shared" si="14"/>
        <v>0</v>
      </c>
      <c r="O46" s="101"/>
      <c r="P46" s="101">
        <f t="shared" si="12"/>
        <v>0</v>
      </c>
      <c r="Q46" s="101"/>
      <c r="R46" s="101"/>
      <c r="S46" s="101"/>
      <c r="T46" s="101">
        <f t="shared" si="13"/>
        <v>0</v>
      </c>
      <c r="U46" s="243" t="e">
        <f t="shared" si="16"/>
        <v>#DIV/0!</v>
      </c>
      <c r="V46" s="253">
        <f t="shared" si="15"/>
        <v>0</v>
      </c>
      <c r="W46" s="244"/>
      <c r="X46" s="253">
        <f>LOOKUP(1,0/(项目收支汇总表!A5:A306="4.2.1.19"),项目收支汇总表!C5:C306)</f>
        <v>0</v>
      </c>
      <c r="Y46" s="243" t="e">
        <f t="shared" si="17"/>
        <v>#DIV/0!</v>
      </c>
      <c r="Z46" s="244">
        <f t="shared" si="18"/>
        <v>0</v>
      </c>
      <c r="AA46" s="244"/>
      <c r="AB46" s="244">
        <f t="shared" si="11"/>
        <v>0</v>
      </c>
      <c r="AC46" s="244">
        <f t="shared" si="9"/>
        <v>0</v>
      </c>
      <c r="AD46" s="244">
        <f t="shared" si="19"/>
        <v>0</v>
      </c>
      <c r="AE46" s="253"/>
      <c r="AF46" s="253"/>
      <c r="AG46" s="244"/>
      <c r="AH46" s="243" t="e">
        <f t="shared" si="20"/>
        <v>#DIV/0!</v>
      </c>
      <c r="AI46" s="244"/>
      <c r="AJ46" s="243" t="e">
        <f t="shared" si="21"/>
        <v>#DIV/0!</v>
      </c>
      <c r="AK46" s="244"/>
      <c r="AL46" s="244"/>
      <c r="AM46" s="255"/>
      <c r="AN46" s="247"/>
      <c r="AO46" s="255"/>
      <c r="AP46" s="270"/>
      <c r="AQ46" s="41"/>
    </row>
    <row r="47" spans="1:43" s="24" customFormat="1" ht="20.25" customHeight="1" outlineLevel="2">
      <c r="A47" s="272" t="s">
        <v>535</v>
      </c>
      <c r="B47" s="273" t="s">
        <v>536</v>
      </c>
      <c r="C47" s="274" t="s">
        <v>537</v>
      </c>
      <c r="D47" s="147" t="s">
        <v>489</v>
      </c>
      <c r="E47" s="268">
        <v>3</v>
      </c>
      <c r="F47" s="112"/>
      <c r="G47" s="112"/>
      <c r="H47" s="112"/>
      <c r="I47" s="112"/>
      <c r="J47" s="269"/>
      <c r="K47" s="112"/>
      <c r="L47" s="112"/>
      <c r="M47" s="112"/>
      <c r="N47" s="101">
        <f t="shared" si="14"/>
        <v>0</v>
      </c>
      <c r="O47" s="101"/>
      <c r="P47" s="101">
        <f t="shared" si="12"/>
        <v>0</v>
      </c>
      <c r="Q47" s="101"/>
      <c r="R47" s="101"/>
      <c r="S47" s="101"/>
      <c r="T47" s="101">
        <f t="shared" si="13"/>
        <v>0</v>
      </c>
      <c r="U47" s="243" t="e">
        <f t="shared" si="16"/>
        <v>#DIV/0!</v>
      </c>
      <c r="V47" s="253">
        <f t="shared" si="15"/>
        <v>0</v>
      </c>
      <c r="W47" s="244"/>
      <c r="X47" s="253">
        <f>LOOKUP(1,0/(项目收支汇总表!A5:A306="4.2.1.20"),项目收支汇总表!C5:C306)</f>
        <v>0</v>
      </c>
      <c r="Y47" s="243" t="e">
        <f t="shared" si="17"/>
        <v>#DIV/0!</v>
      </c>
      <c r="Z47" s="244">
        <f t="shared" si="18"/>
        <v>0</v>
      </c>
      <c r="AA47" s="244"/>
      <c r="AB47" s="244">
        <f t="shared" si="11"/>
        <v>0</v>
      </c>
      <c r="AC47" s="244">
        <f t="shared" si="9"/>
        <v>0</v>
      </c>
      <c r="AD47" s="244">
        <f t="shared" si="19"/>
        <v>0</v>
      </c>
      <c r="AE47" s="253"/>
      <c r="AF47" s="253"/>
      <c r="AG47" s="244"/>
      <c r="AH47" s="243" t="e">
        <f t="shared" si="20"/>
        <v>#DIV/0!</v>
      </c>
      <c r="AI47" s="244"/>
      <c r="AJ47" s="243" t="e">
        <f t="shared" si="21"/>
        <v>#DIV/0!</v>
      </c>
      <c r="AK47" s="244"/>
      <c r="AL47" s="244"/>
      <c r="AM47" s="255"/>
      <c r="AN47" s="247"/>
      <c r="AO47" s="255"/>
      <c r="AP47" s="270"/>
      <c r="AQ47" s="41"/>
    </row>
    <row r="48" spans="1:43" s="24" customFormat="1" ht="20.25" customHeight="1" outlineLevel="2">
      <c r="A48" s="272" t="s">
        <v>538</v>
      </c>
      <c r="B48" s="271" t="s">
        <v>539</v>
      </c>
      <c r="C48" s="267" t="s">
        <v>540</v>
      </c>
      <c r="D48" s="147" t="s">
        <v>489</v>
      </c>
      <c r="E48" s="268">
        <v>3</v>
      </c>
      <c r="F48" s="112"/>
      <c r="G48" s="112"/>
      <c r="H48" s="112"/>
      <c r="I48" s="112"/>
      <c r="J48" s="269"/>
      <c r="K48" s="112"/>
      <c r="L48" s="112"/>
      <c r="M48" s="112"/>
      <c r="N48" s="101">
        <f t="shared" si="14"/>
        <v>0</v>
      </c>
      <c r="O48" s="101"/>
      <c r="P48" s="101">
        <f t="shared" si="12"/>
        <v>0</v>
      </c>
      <c r="Q48" s="101"/>
      <c r="R48" s="101"/>
      <c r="S48" s="101"/>
      <c r="T48" s="101">
        <f t="shared" si="13"/>
        <v>0</v>
      </c>
      <c r="U48" s="243" t="e">
        <f t="shared" si="16"/>
        <v>#DIV/0!</v>
      </c>
      <c r="V48" s="253">
        <f t="shared" si="15"/>
        <v>0</v>
      </c>
      <c r="W48" s="244"/>
      <c r="X48" s="253">
        <f>LOOKUP(1,0/(项目收支汇总表!A5:A306="4.2.1.21"),项目收支汇总表!C5:C306)</f>
        <v>0</v>
      </c>
      <c r="Y48" s="243" t="e">
        <f t="shared" si="17"/>
        <v>#DIV/0!</v>
      </c>
      <c r="Z48" s="244">
        <f t="shared" si="18"/>
        <v>0</v>
      </c>
      <c r="AA48" s="244"/>
      <c r="AB48" s="244">
        <f t="shared" si="11"/>
        <v>0</v>
      </c>
      <c r="AC48" s="244">
        <f t="shared" si="9"/>
        <v>0</v>
      </c>
      <c r="AD48" s="244">
        <f t="shared" si="19"/>
        <v>0</v>
      </c>
      <c r="AE48" s="253"/>
      <c r="AF48" s="253"/>
      <c r="AG48" s="244"/>
      <c r="AH48" s="243" t="e">
        <f t="shared" si="20"/>
        <v>#DIV/0!</v>
      </c>
      <c r="AI48" s="244"/>
      <c r="AJ48" s="243" t="e">
        <f t="shared" si="21"/>
        <v>#DIV/0!</v>
      </c>
      <c r="AK48" s="244"/>
      <c r="AL48" s="244"/>
      <c r="AM48" s="255"/>
      <c r="AN48" s="247"/>
      <c r="AO48" s="255"/>
      <c r="AP48" s="270"/>
      <c r="AQ48" s="41"/>
    </row>
    <row r="49" spans="1:43" s="24" customFormat="1" ht="20.25" customHeight="1" outlineLevel="2">
      <c r="A49" s="272" t="s">
        <v>541</v>
      </c>
      <c r="B49" s="271" t="s">
        <v>542</v>
      </c>
      <c r="C49" s="267" t="s">
        <v>543</v>
      </c>
      <c r="D49" s="147" t="s">
        <v>489</v>
      </c>
      <c r="E49" s="268">
        <v>3</v>
      </c>
      <c r="F49" s="112"/>
      <c r="G49" s="112"/>
      <c r="H49" s="112"/>
      <c r="I49" s="112"/>
      <c r="J49" s="269"/>
      <c r="K49" s="112"/>
      <c r="L49" s="112"/>
      <c r="M49" s="112"/>
      <c r="N49" s="101">
        <f t="shared" si="14"/>
        <v>0</v>
      </c>
      <c r="O49" s="101"/>
      <c r="P49" s="101">
        <f t="shared" si="12"/>
        <v>0</v>
      </c>
      <c r="Q49" s="101"/>
      <c r="R49" s="101"/>
      <c r="S49" s="101"/>
      <c r="T49" s="101">
        <f t="shared" si="13"/>
        <v>0</v>
      </c>
      <c r="U49" s="243" t="e">
        <f t="shared" si="16"/>
        <v>#DIV/0!</v>
      </c>
      <c r="V49" s="253">
        <f t="shared" si="15"/>
        <v>0</v>
      </c>
      <c r="W49" s="244"/>
      <c r="X49" s="253">
        <f>LOOKUP(1,0/(项目收支汇总表!A5:A306="4.2.1.22"),项目收支汇总表!C5:C306)</f>
        <v>0</v>
      </c>
      <c r="Y49" s="243" t="e">
        <f t="shared" si="17"/>
        <v>#DIV/0!</v>
      </c>
      <c r="Z49" s="244">
        <f t="shared" si="18"/>
        <v>0</v>
      </c>
      <c r="AA49" s="244"/>
      <c r="AB49" s="244">
        <f t="shared" si="11"/>
        <v>0</v>
      </c>
      <c r="AC49" s="244">
        <f t="shared" ref="AC49:AC69" si="22">O49</f>
        <v>0</v>
      </c>
      <c r="AD49" s="244">
        <f t="shared" si="19"/>
        <v>0</v>
      </c>
      <c r="AE49" s="253"/>
      <c r="AF49" s="253"/>
      <c r="AG49" s="244"/>
      <c r="AH49" s="243" t="e">
        <f t="shared" si="20"/>
        <v>#DIV/0!</v>
      </c>
      <c r="AI49" s="244"/>
      <c r="AJ49" s="243" t="e">
        <f t="shared" si="21"/>
        <v>#DIV/0!</v>
      </c>
      <c r="AK49" s="244"/>
      <c r="AL49" s="244"/>
      <c r="AM49" s="255"/>
      <c r="AN49" s="247"/>
      <c r="AO49" s="255"/>
      <c r="AP49" s="270"/>
      <c r="AQ49" s="41"/>
    </row>
    <row r="50" spans="1:43" s="24" customFormat="1" ht="20.25" customHeight="1" outlineLevel="2">
      <c r="A50" s="272" t="s">
        <v>544</v>
      </c>
      <c r="B50" s="271" t="s">
        <v>497</v>
      </c>
      <c r="C50" s="267" t="s">
        <v>545</v>
      </c>
      <c r="D50" s="147" t="s">
        <v>489</v>
      </c>
      <c r="E50" s="268">
        <v>3</v>
      </c>
      <c r="F50" s="112"/>
      <c r="G50" s="112"/>
      <c r="H50" s="112"/>
      <c r="I50" s="112"/>
      <c r="J50" s="269"/>
      <c r="K50" s="112"/>
      <c r="L50" s="112"/>
      <c r="M50" s="112"/>
      <c r="N50" s="101">
        <f t="shared" si="14"/>
        <v>0</v>
      </c>
      <c r="O50" s="101"/>
      <c r="P50" s="101">
        <f t="shared" si="12"/>
        <v>0</v>
      </c>
      <c r="Q50" s="101"/>
      <c r="R50" s="101"/>
      <c r="S50" s="101"/>
      <c r="T50" s="101">
        <f t="shared" si="13"/>
        <v>0</v>
      </c>
      <c r="U50" s="243" t="e">
        <f t="shared" si="16"/>
        <v>#DIV/0!</v>
      </c>
      <c r="V50" s="253">
        <f t="shared" si="15"/>
        <v>0</v>
      </c>
      <c r="W50" s="244"/>
      <c r="X50" s="253">
        <f>SUM(SUMIF(项目收支汇总表!A5:A306,{"4.2.1.23","4.3.1","4.3.3","4.3.4","4.3.5","4.3.13","4.3.15"},项目收支汇总表!C5:C306))+LOOKUP(1,0/(项目收支汇总表!A5:A306="3.3"),项目收支汇总表!C5:C306)-LOOKUP(1,0/(项目收支汇总表!A5:A306="3.3.1"),项目收支汇总表!C5:C306)</f>
        <v>0</v>
      </c>
      <c r="Y50" s="243" t="e">
        <f t="shared" si="17"/>
        <v>#DIV/0!</v>
      </c>
      <c r="Z50" s="244">
        <f t="shared" si="18"/>
        <v>0</v>
      </c>
      <c r="AA50" s="244"/>
      <c r="AB50" s="244">
        <f t="shared" si="11"/>
        <v>0</v>
      </c>
      <c r="AC50" s="244">
        <f t="shared" si="22"/>
        <v>0</v>
      </c>
      <c r="AD50" s="244">
        <f t="shared" si="19"/>
        <v>0</v>
      </c>
      <c r="AE50" s="253"/>
      <c r="AF50" s="253"/>
      <c r="AG50" s="244"/>
      <c r="AH50" s="243" t="e">
        <f t="shared" si="20"/>
        <v>#DIV/0!</v>
      </c>
      <c r="AI50" s="244"/>
      <c r="AJ50" s="243" t="e">
        <f t="shared" si="21"/>
        <v>#DIV/0!</v>
      </c>
      <c r="AK50" s="244"/>
      <c r="AL50" s="244"/>
      <c r="AM50" s="255"/>
      <c r="AN50" s="247"/>
      <c r="AO50" s="255"/>
      <c r="AP50" s="270"/>
      <c r="AQ50" s="41"/>
    </row>
    <row r="51" spans="1:43" s="24" customFormat="1" ht="20.25" customHeight="1" outlineLevel="2">
      <c r="A51" s="272" t="s">
        <v>546</v>
      </c>
      <c r="B51" s="273" t="s">
        <v>547</v>
      </c>
      <c r="C51" s="274" t="s">
        <v>548</v>
      </c>
      <c r="D51" s="147" t="s">
        <v>489</v>
      </c>
      <c r="E51" s="268">
        <v>3</v>
      </c>
      <c r="F51" s="112"/>
      <c r="G51" s="112"/>
      <c r="H51" s="112"/>
      <c r="I51" s="112"/>
      <c r="J51" s="269"/>
      <c r="K51" s="112"/>
      <c r="L51" s="112"/>
      <c r="M51" s="112"/>
      <c r="N51" s="101">
        <f t="shared" si="14"/>
        <v>0</v>
      </c>
      <c r="O51" s="101"/>
      <c r="P51" s="101">
        <f t="shared" si="12"/>
        <v>0</v>
      </c>
      <c r="Q51" s="101"/>
      <c r="R51" s="101"/>
      <c r="S51" s="101"/>
      <c r="T51" s="101">
        <f t="shared" si="13"/>
        <v>0</v>
      </c>
      <c r="U51" s="243" t="e">
        <f t="shared" si="16"/>
        <v>#DIV/0!</v>
      </c>
      <c r="V51" s="253">
        <f t="shared" si="15"/>
        <v>0</v>
      </c>
      <c r="W51" s="244"/>
      <c r="X51" s="253">
        <f>LOOKUP(1,0/(项目收支汇总表!A5:A306="4.3.2"),项目收支汇总表!C5:C306)</f>
        <v>0</v>
      </c>
      <c r="Y51" s="243" t="e">
        <f t="shared" si="17"/>
        <v>#DIV/0!</v>
      </c>
      <c r="Z51" s="244">
        <f t="shared" si="18"/>
        <v>0</v>
      </c>
      <c r="AA51" s="244"/>
      <c r="AB51" s="244">
        <f t="shared" si="11"/>
        <v>0</v>
      </c>
      <c r="AC51" s="244">
        <f t="shared" si="22"/>
        <v>0</v>
      </c>
      <c r="AD51" s="244">
        <f t="shared" si="19"/>
        <v>0</v>
      </c>
      <c r="AE51" s="253"/>
      <c r="AF51" s="253"/>
      <c r="AG51" s="244"/>
      <c r="AH51" s="243" t="e">
        <f t="shared" si="20"/>
        <v>#DIV/0!</v>
      </c>
      <c r="AI51" s="244"/>
      <c r="AJ51" s="243" t="e">
        <f t="shared" si="21"/>
        <v>#DIV/0!</v>
      </c>
      <c r="AK51" s="244"/>
      <c r="AL51" s="244"/>
      <c r="AM51" s="255"/>
      <c r="AN51" s="247"/>
      <c r="AO51" s="255"/>
      <c r="AP51" s="270"/>
      <c r="AQ51" s="41"/>
    </row>
    <row r="52" spans="1:43" s="24" customFormat="1" ht="20.25" customHeight="1" outlineLevel="2">
      <c r="A52" s="272" t="s">
        <v>549</v>
      </c>
      <c r="B52" s="271" t="s">
        <v>550</v>
      </c>
      <c r="C52" s="267" t="s">
        <v>551</v>
      </c>
      <c r="D52" s="147" t="s">
        <v>489</v>
      </c>
      <c r="E52" s="268">
        <v>3</v>
      </c>
      <c r="F52" s="112"/>
      <c r="G52" s="112"/>
      <c r="H52" s="112"/>
      <c r="I52" s="112"/>
      <c r="J52" s="269"/>
      <c r="K52" s="112"/>
      <c r="L52" s="112"/>
      <c r="M52" s="112"/>
      <c r="N52" s="101">
        <f t="shared" si="14"/>
        <v>0</v>
      </c>
      <c r="O52" s="101"/>
      <c r="P52" s="101">
        <f t="shared" si="12"/>
        <v>0</v>
      </c>
      <c r="Q52" s="101"/>
      <c r="R52" s="101"/>
      <c r="S52" s="101"/>
      <c r="T52" s="101">
        <f t="shared" si="13"/>
        <v>0</v>
      </c>
      <c r="U52" s="243" t="e">
        <f t="shared" si="16"/>
        <v>#DIV/0!</v>
      </c>
      <c r="V52" s="253">
        <f t="shared" si="15"/>
        <v>0</v>
      </c>
      <c r="W52" s="244"/>
      <c r="X52" s="253"/>
      <c r="Y52" s="243" t="e">
        <f t="shared" si="17"/>
        <v>#DIV/0!</v>
      </c>
      <c r="Z52" s="244">
        <f t="shared" si="18"/>
        <v>0</v>
      </c>
      <c r="AA52" s="244"/>
      <c r="AB52" s="244">
        <f t="shared" si="11"/>
        <v>0</v>
      </c>
      <c r="AC52" s="244">
        <f t="shared" si="22"/>
        <v>0</v>
      </c>
      <c r="AD52" s="244">
        <f t="shared" si="19"/>
        <v>0</v>
      </c>
      <c r="AE52" s="253"/>
      <c r="AF52" s="253"/>
      <c r="AG52" s="244"/>
      <c r="AH52" s="243" t="e">
        <f t="shared" si="20"/>
        <v>#DIV/0!</v>
      </c>
      <c r="AI52" s="244"/>
      <c r="AJ52" s="243" t="e">
        <f t="shared" si="21"/>
        <v>#DIV/0!</v>
      </c>
      <c r="AK52" s="244"/>
      <c r="AL52" s="244"/>
      <c r="AM52" s="255"/>
      <c r="AN52" s="247"/>
      <c r="AO52" s="255"/>
      <c r="AP52" s="270"/>
      <c r="AQ52" s="41"/>
    </row>
    <row r="53" spans="1:43" s="24" customFormat="1" ht="20.25" customHeight="1" outlineLevel="1">
      <c r="A53" s="226">
        <v>2.2999999999999998</v>
      </c>
      <c r="B53" s="227" t="s">
        <v>552</v>
      </c>
      <c r="C53" s="228" t="s">
        <v>553</v>
      </c>
      <c r="D53" s="147" t="s">
        <v>489</v>
      </c>
      <c r="E53" s="147">
        <v>2</v>
      </c>
      <c r="F53" s="230"/>
      <c r="G53" s="230"/>
      <c r="H53" s="230"/>
      <c r="I53" s="230"/>
      <c r="J53" s="110"/>
      <c r="K53" s="230"/>
      <c r="L53" s="230"/>
      <c r="M53" s="230"/>
      <c r="N53" s="232">
        <f t="shared" si="14"/>
        <v>0</v>
      </c>
      <c r="O53" s="232"/>
      <c r="P53" s="232">
        <f t="shared" si="12"/>
        <v>0</v>
      </c>
      <c r="Q53" s="232"/>
      <c r="R53" s="232"/>
      <c r="S53" s="232"/>
      <c r="T53" s="232">
        <f t="shared" si="13"/>
        <v>0</v>
      </c>
      <c r="U53" s="151" t="e">
        <f t="shared" si="16"/>
        <v>#DIV/0!</v>
      </c>
      <c r="V53" s="276">
        <f t="shared" si="15"/>
        <v>0</v>
      </c>
      <c r="W53" s="276"/>
      <c r="X53" s="234">
        <f>LOOKUP(1,0/(项目收支汇总表!A5:A306="4.2.1.14"),项目收支汇总表!C5:C306)</f>
        <v>0</v>
      </c>
      <c r="Y53" s="151" t="e">
        <f t="shared" si="17"/>
        <v>#DIV/0!</v>
      </c>
      <c r="Z53" s="232">
        <f t="shared" si="18"/>
        <v>0</v>
      </c>
      <c r="AA53" s="233"/>
      <c r="AB53" s="232">
        <f t="shared" si="11"/>
        <v>0</v>
      </c>
      <c r="AC53" s="232">
        <f t="shared" si="22"/>
        <v>0</v>
      </c>
      <c r="AD53" s="233">
        <f t="shared" si="19"/>
        <v>0</v>
      </c>
      <c r="AE53" s="234"/>
      <c r="AF53" s="234"/>
      <c r="AG53" s="233"/>
      <c r="AH53" s="151" t="e">
        <f t="shared" si="20"/>
        <v>#DIV/0!</v>
      </c>
      <c r="AI53" s="233"/>
      <c r="AJ53" s="151" t="e">
        <f t="shared" si="21"/>
        <v>#DIV/0!</v>
      </c>
      <c r="AK53" s="233"/>
      <c r="AL53" s="233"/>
      <c r="AM53" s="235"/>
      <c r="AN53" s="264"/>
      <c r="AO53" s="235"/>
      <c r="AP53" s="236"/>
      <c r="AQ53" s="39"/>
    </row>
    <row r="54" spans="1:43" s="24" customFormat="1" ht="20.25" customHeight="1" outlineLevel="1">
      <c r="A54" s="226">
        <v>2.4</v>
      </c>
      <c r="B54" s="227" t="s">
        <v>554</v>
      </c>
      <c r="C54" s="228" t="s">
        <v>555</v>
      </c>
      <c r="D54" s="147" t="s">
        <v>489</v>
      </c>
      <c r="E54" s="147">
        <v>2</v>
      </c>
      <c r="F54" s="230"/>
      <c r="G54" s="230"/>
      <c r="H54" s="230"/>
      <c r="I54" s="230"/>
      <c r="J54" s="110"/>
      <c r="K54" s="230"/>
      <c r="L54" s="230"/>
      <c r="M54" s="230"/>
      <c r="N54" s="232">
        <f t="shared" si="14"/>
        <v>0</v>
      </c>
      <c r="O54" s="232"/>
      <c r="P54" s="232">
        <f t="shared" si="12"/>
        <v>0</v>
      </c>
      <c r="Q54" s="232"/>
      <c r="R54" s="232"/>
      <c r="S54" s="232"/>
      <c r="T54" s="232">
        <f t="shared" si="13"/>
        <v>0</v>
      </c>
      <c r="U54" s="151" t="e">
        <f t="shared" si="16"/>
        <v>#DIV/0!</v>
      </c>
      <c r="V54" s="276">
        <f t="shared" si="15"/>
        <v>0</v>
      </c>
      <c r="W54" s="276"/>
      <c r="X54" s="234"/>
      <c r="Y54" s="151" t="e">
        <f t="shared" si="17"/>
        <v>#DIV/0!</v>
      </c>
      <c r="Z54" s="232">
        <f t="shared" si="18"/>
        <v>0</v>
      </c>
      <c r="AA54" s="232"/>
      <c r="AB54" s="232">
        <f t="shared" si="11"/>
        <v>0</v>
      </c>
      <c r="AC54" s="232">
        <f t="shared" si="22"/>
        <v>0</v>
      </c>
      <c r="AD54" s="233">
        <f t="shared" si="19"/>
        <v>0</v>
      </c>
      <c r="AE54" s="234"/>
      <c r="AF54" s="234"/>
      <c r="AG54" s="233"/>
      <c r="AH54" s="151" t="e">
        <f t="shared" si="20"/>
        <v>#DIV/0!</v>
      </c>
      <c r="AI54" s="233"/>
      <c r="AJ54" s="151" t="e">
        <f t="shared" si="21"/>
        <v>#DIV/0!</v>
      </c>
      <c r="AK54" s="233"/>
      <c r="AL54" s="233"/>
      <c r="AM54" s="235"/>
      <c r="AN54" s="264"/>
      <c r="AO54" s="235"/>
      <c r="AP54" s="236"/>
      <c r="AQ54" s="39"/>
    </row>
    <row r="55" spans="1:43" s="24" customFormat="1" ht="20.25" customHeight="1" outlineLevel="1">
      <c r="A55" s="226">
        <v>2.5</v>
      </c>
      <c r="B55" s="227" t="s">
        <v>556</v>
      </c>
      <c r="C55" s="228" t="s">
        <v>557</v>
      </c>
      <c r="D55" s="147" t="s">
        <v>489</v>
      </c>
      <c r="E55" s="147">
        <v>2</v>
      </c>
      <c r="F55" s="230"/>
      <c r="G55" s="230"/>
      <c r="H55" s="230"/>
      <c r="I55" s="230"/>
      <c r="J55" s="110"/>
      <c r="K55" s="230"/>
      <c r="L55" s="230"/>
      <c r="M55" s="230"/>
      <c r="N55" s="232">
        <f t="shared" si="14"/>
        <v>0</v>
      </c>
      <c r="O55" s="232"/>
      <c r="P55" s="232">
        <f t="shared" si="12"/>
        <v>0</v>
      </c>
      <c r="Q55" s="232"/>
      <c r="R55" s="232"/>
      <c r="S55" s="232"/>
      <c r="T55" s="232">
        <f t="shared" si="13"/>
        <v>0</v>
      </c>
      <c r="U55" s="151" t="e">
        <f t="shared" si="16"/>
        <v>#DIV/0!</v>
      </c>
      <c r="V55" s="276">
        <f t="shared" si="15"/>
        <v>0</v>
      </c>
      <c r="W55" s="276"/>
      <c r="X55" s="234"/>
      <c r="Y55" s="151" t="e">
        <f t="shared" si="17"/>
        <v>#DIV/0!</v>
      </c>
      <c r="Z55" s="232">
        <f t="shared" si="18"/>
        <v>0</v>
      </c>
      <c r="AA55" s="232"/>
      <c r="AB55" s="232">
        <f t="shared" si="11"/>
        <v>0</v>
      </c>
      <c r="AC55" s="232">
        <f t="shared" si="22"/>
        <v>0</v>
      </c>
      <c r="AD55" s="233">
        <f t="shared" si="19"/>
        <v>0</v>
      </c>
      <c r="AE55" s="234"/>
      <c r="AF55" s="234"/>
      <c r="AG55" s="233"/>
      <c r="AH55" s="151" t="e">
        <f t="shared" si="20"/>
        <v>#DIV/0!</v>
      </c>
      <c r="AI55" s="233"/>
      <c r="AJ55" s="151" t="e">
        <f t="shared" si="21"/>
        <v>#DIV/0!</v>
      </c>
      <c r="AK55" s="233"/>
      <c r="AL55" s="233"/>
      <c r="AM55" s="235"/>
      <c r="AN55" s="264"/>
      <c r="AO55" s="235"/>
      <c r="AP55" s="236"/>
      <c r="AQ55" s="39"/>
    </row>
    <row r="56" spans="1:43" s="24" customFormat="1" ht="20.25" customHeight="1" outlineLevel="1">
      <c r="A56" s="226">
        <v>2.6</v>
      </c>
      <c r="B56" s="227" t="s">
        <v>558</v>
      </c>
      <c r="C56" s="228" t="s">
        <v>559</v>
      </c>
      <c r="D56" s="147" t="s">
        <v>489</v>
      </c>
      <c r="E56" s="147">
        <v>2</v>
      </c>
      <c r="F56" s="230"/>
      <c r="G56" s="230"/>
      <c r="H56" s="230"/>
      <c r="I56" s="230"/>
      <c r="J56" s="110"/>
      <c r="K56" s="230"/>
      <c r="L56" s="230"/>
      <c r="M56" s="230"/>
      <c r="N56" s="232">
        <f t="shared" si="14"/>
        <v>0</v>
      </c>
      <c r="O56" s="232"/>
      <c r="P56" s="232">
        <f t="shared" si="12"/>
        <v>0</v>
      </c>
      <c r="Q56" s="232"/>
      <c r="R56" s="232"/>
      <c r="S56" s="232"/>
      <c r="T56" s="232">
        <f t="shared" si="13"/>
        <v>0</v>
      </c>
      <c r="U56" s="151" t="e">
        <f t="shared" si="16"/>
        <v>#DIV/0!</v>
      </c>
      <c r="V56" s="276">
        <f t="shared" si="15"/>
        <v>0</v>
      </c>
      <c r="W56" s="276"/>
      <c r="X56" s="110"/>
      <c r="Y56" s="151" t="e">
        <f t="shared" si="17"/>
        <v>#DIV/0!</v>
      </c>
      <c r="Z56" s="232">
        <f t="shared" si="18"/>
        <v>0</v>
      </c>
      <c r="AA56" s="232"/>
      <c r="AB56" s="232">
        <f t="shared" si="11"/>
        <v>0</v>
      </c>
      <c r="AC56" s="232">
        <f t="shared" si="22"/>
        <v>0</v>
      </c>
      <c r="AD56" s="233">
        <f t="shared" si="19"/>
        <v>0</v>
      </c>
      <c r="AE56" s="234"/>
      <c r="AF56" s="234"/>
      <c r="AG56" s="233"/>
      <c r="AH56" s="151" t="e">
        <f t="shared" si="20"/>
        <v>#DIV/0!</v>
      </c>
      <c r="AI56" s="233"/>
      <c r="AJ56" s="151" t="e">
        <f t="shared" si="21"/>
        <v>#DIV/0!</v>
      </c>
      <c r="AK56" s="233"/>
      <c r="AL56" s="233"/>
      <c r="AM56" s="235"/>
      <c r="AN56" s="264"/>
      <c r="AO56" s="235"/>
      <c r="AP56" s="236"/>
      <c r="AQ56" s="39"/>
    </row>
    <row r="57" spans="1:43" s="24" customFormat="1" ht="20.25" customHeight="1">
      <c r="A57" s="214" t="s">
        <v>560</v>
      </c>
      <c r="B57" s="215" t="s">
        <v>277</v>
      </c>
      <c r="C57" s="216" t="s">
        <v>561</v>
      </c>
      <c r="D57" s="217" t="s">
        <v>562</v>
      </c>
      <c r="E57" s="218">
        <v>1</v>
      </c>
      <c r="F57" s="221"/>
      <c r="G57" s="221"/>
      <c r="H57" s="221"/>
      <c r="I57" s="221"/>
      <c r="J57" s="222"/>
      <c r="K57" s="221"/>
      <c r="L57" s="221"/>
      <c r="M57" s="221"/>
      <c r="N57" s="220">
        <f>N58+N59+N60</f>
        <v>0</v>
      </c>
      <c r="O57" s="220">
        <f>O58+O59+O60</f>
        <v>0</v>
      </c>
      <c r="P57" s="220">
        <f t="shared" si="12"/>
        <v>0</v>
      </c>
      <c r="Q57" s="220">
        <f>Q58+Q59+Q60</f>
        <v>0</v>
      </c>
      <c r="R57" s="220">
        <f>R58+R59+R60</f>
        <v>0</v>
      </c>
      <c r="S57" s="220">
        <f>S58+S59+S60</f>
        <v>0</v>
      </c>
      <c r="T57" s="220">
        <f t="shared" si="13"/>
        <v>0</v>
      </c>
      <c r="U57" s="222" t="e">
        <f t="shared" si="16"/>
        <v>#DIV/0!</v>
      </c>
      <c r="V57" s="222">
        <f>V58+V59+V60</f>
        <v>0</v>
      </c>
      <c r="W57" s="220">
        <f>W58+W59+W60</f>
        <v>0</v>
      </c>
      <c r="X57" s="222">
        <f>X58+X59+X60</f>
        <v>0</v>
      </c>
      <c r="Y57" s="221" t="e">
        <f t="shared" si="17"/>
        <v>#DIV/0!</v>
      </c>
      <c r="Z57" s="220">
        <f t="shared" si="18"/>
        <v>0</v>
      </c>
      <c r="AA57" s="220">
        <f>AA58+AA59+AA60</f>
        <v>0</v>
      </c>
      <c r="AB57" s="220">
        <f t="shared" si="11"/>
        <v>0</v>
      </c>
      <c r="AC57" s="220">
        <f t="shared" si="22"/>
        <v>0</v>
      </c>
      <c r="AD57" s="220">
        <f t="shared" si="19"/>
        <v>0</v>
      </c>
      <c r="AE57" s="222"/>
      <c r="AF57" s="222"/>
      <c r="AG57" s="220">
        <f>AG58+AG59+AG60</f>
        <v>0</v>
      </c>
      <c r="AH57" s="221" t="e">
        <f t="shared" si="20"/>
        <v>#DIV/0!</v>
      </c>
      <c r="AI57" s="220">
        <f>AI58+AI59+AI60</f>
        <v>0</v>
      </c>
      <c r="AJ57" s="221" t="e">
        <f t="shared" si="21"/>
        <v>#DIV/0!</v>
      </c>
      <c r="AK57" s="220">
        <f>AK58+AK59+AK60</f>
        <v>0</v>
      </c>
      <c r="AL57" s="220">
        <f>AL58+AL59+AL60</f>
        <v>0</v>
      </c>
      <c r="AM57" s="223"/>
      <c r="AN57" s="263"/>
      <c r="AO57" s="223"/>
      <c r="AP57" s="277"/>
      <c r="AQ57" s="42"/>
    </row>
    <row r="58" spans="1:43" s="24" customFormat="1" ht="20.25" customHeight="1" outlineLevel="1">
      <c r="A58" s="226">
        <v>3.1</v>
      </c>
      <c r="B58" s="227" t="s">
        <v>563</v>
      </c>
      <c r="C58" s="228" t="s">
        <v>564</v>
      </c>
      <c r="D58" s="147" t="s">
        <v>562</v>
      </c>
      <c r="E58" s="147">
        <v>2</v>
      </c>
      <c r="F58" s="230"/>
      <c r="G58" s="230"/>
      <c r="H58" s="230"/>
      <c r="I58" s="230"/>
      <c r="J58" s="110"/>
      <c r="K58" s="230"/>
      <c r="L58" s="230"/>
      <c r="M58" s="230"/>
      <c r="N58" s="232">
        <f>X58</f>
        <v>0</v>
      </c>
      <c r="O58" s="232"/>
      <c r="P58" s="232">
        <f t="shared" si="12"/>
        <v>0</v>
      </c>
      <c r="Q58" s="232"/>
      <c r="R58" s="232"/>
      <c r="S58" s="232"/>
      <c r="T58" s="232">
        <f t="shared" si="13"/>
        <v>0</v>
      </c>
      <c r="U58" s="151" t="e">
        <f t="shared" si="16"/>
        <v>#DIV/0!</v>
      </c>
      <c r="V58" s="276">
        <f>X58</f>
        <v>0</v>
      </c>
      <c r="W58" s="276"/>
      <c r="X58" s="234">
        <f>LOOKUP(1,0/(项目收支汇总表!A5:A306="4.2.2.4"),项目收支汇总表!C5:C306)</f>
        <v>0</v>
      </c>
      <c r="Y58" s="151" t="e">
        <f t="shared" si="17"/>
        <v>#DIV/0!</v>
      </c>
      <c r="Z58" s="232">
        <f t="shared" si="18"/>
        <v>0</v>
      </c>
      <c r="AA58" s="232"/>
      <c r="AB58" s="232">
        <f t="shared" si="11"/>
        <v>0</v>
      </c>
      <c r="AC58" s="232">
        <f t="shared" si="22"/>
        <v>0</v>
      </c>
      <c r="AD58" s="233">
        <f t="shared" si="19"/>
        <v>0</v>
      </c>
      <c r="AE58" s="234"/>
      <c r="AF58" s="234"/>
      <c r="AG58" s="233"/>
      <c r="AH58" s="151" t="e">
        <f t="shared" si="20"/>
        <v>#DIV/0!</v>
      </c>
      <c r="AI58" s="233"/>
      <c r="AJ58" s="151" t="e">
        <f t="shared" si="21"/>
        <v>#DIV/0!</v>
      </c>
      <c r="AK58" s="233"/>
      <c r="AL58" s="233"/>
      <c r="AM58" s="235"/>
      <c r="AN58" s="264"/>
      <c r="AO58" s="235"/>
      <c r="AP58" s="236"/>
      <c r="AQ58" s="39"/>
    </row>
    <row r="59" spans="1:43" s="24" customFormat="1" ht="20.25" customHeight="1" outlineLevel="1">
      <c r="A59" s="226">
        <v>3.2</v>
      </c>
      <c r="B59" s="227" t="s">
        <v>565</v>
      </c>
      <c r="C59" s="228" t="s">
        <v>566</v>
      </c>
      <c r="D59" s="147" t="s">
        <v>562</v>
      </c>
      <c r="E59" s="147">
        <v>2</v>
      </c>
      <c r="F59" s="230"/>
      <c r="G59" s="230"/>
      <c r="H59" s="230"/>
      <c r="I59" s="230"/>
      <c r="J59" s="110"/>
      <c r="K59" s="230"/>
      <c r="L59" s="230"/>
      <c r="M59" s="230"/>
      <c r="N59" s="232">
        <f>X59</f>
        <v>0</v>
      </c>
      <c r="O59" s="232"/>
      <c r="P59" s="232">
        <f t="shared" si="12"/>
        <v>0</v>
      </c>
      <c r="Q59" s="232"/>
      <c r="R59" s="232"/>
      <c r="S59" s="232"/>
      <c r="T59" s="232">
        <f t="shared" si="13"/>
        <v>0</v>
      </c>
      <c r="U59" s="151" t="e">
        <f t="shared" si="16"/>
        <v>#DIV/0!</v>
      </c>
      <c r="V59" s="276">
        <f>X59</f>
        <v>0</v>
      </c>
      <c r="W59" s="276"/>
      <c r="X59" s="234">
        <f>LOOKUP(1,0/(项目收支汇总表!A5:A306="3.3.1"),项目收支汇总表!C5:C306)</f>
        <v>0</v>
      </c>
      <c r="Y59" s="151" t="e">
        <f t="shared" si="17"/>
        <v>#DIV/0!</v>
      </c>
      <c r="Z59" s="232">
        <f t="shared" si="18"/>
        <v>0</v>
      </c>
      <c r="AA59" s="232"/>
      <c r="AB59" s="232">
        <f t="shared" si="11"/>
        <v>0</v>
      </c>
      <c r="AC59" s="232">
        <f t="shared" si="22"/>
        <v>0</v>
      </c>
      <c r="AD59" s="233">
        <f t="shared" si="19"/>
        <v>0</v>
      </c>
      <c r="AE59" s="234"/>
      <c r="AF59" s="234"/>
      <c r="AG59" s="233"/>
      <c r="AH59" s="151" t="e">
        <f t="shared" si="20"/>
        <v>#DIV/0!</v>
      </c>
      <c r="AI59" s="233"/>
      <c r="AJ59" s="151" t="e">
        <f t="shared" si="21"/>
        <v>#DIV/0!</v>
      </c>
      <c r="AK59" s="233"/>
      <c r="AL59" s="233"/>
      <c r="AM59" s="235"/>
      <c r="AN59" s="264"/>
      <c r="AO59" s="235"/>
      <c r="AP59" s="236"/>
      <c r="AQ59" s="39"/>
    </row>
    <row r="60" spans="1:43" s="24" customFormat="1" ht="20.25" customHeight="1" outlineLevel="1">
      <c r="A60" s="226">
        <v>3.3</v>
      </c>
      <c r="B60" s="227" t="s">
        <v>567</v>
      </c>
      <c r="C60" s="228" t="s">
        <v>568</v>
      </c>
      <c r="D60" s="147" t="s">
        <v>562</v>
      </c>
      <c r="E60" s="147">
        <v>2</v>
      </c>
      <c r="F60" s="230"/>
      <c r="G60" s="230"/>
      <c r="H60" s="230"/>
      <c r="I60" s="230"/>
      <c r="J60" s="110"/>
      <c r="K60" s="230"/>
      <c r="L60" s="230"/>
      <c r="M60" s="230"/>
      <c r="N60" s="232">
        <f>X60</f>
        <v>0</v>
      </c>
      <c r="O60" s="232"/>
      <c r="P60" s="232">
        <f t="shared" si="12"/>
        <v>0</v>
      </c>
      <c r="Q60" s="232"/>
      <c r="R60" s="232"/>
      <c r="S60" s="232"/>
      <c r="T60" s="232">
        <f t="shared" si="13"/>
        <v>0</v>
      </c>
      <c r="U60" s="151" t="e">
        <f t="shared" si="16"/>
        <v>#DIV/0!</v>
      </c>
      <c r="V60" s="276">
        <f>X60</f>
        <v>0</v>
      </c>
      <c r="W60" s="276"/>
      <c r="X60" s="234"/>
      <c r="Y60" s="151" t="e">
        <f t="shared" si="17"/>
        <v>#DIV/0!</v>
      </c>
      <c r="Z60" s="232">
        <f t="shared" si="18"/>
        <v>0</v>
      </c>
      <c r="AA60" s="232"/>
      <c r="AB60" s="232">
        <f t="shared" si="11"/>
        <v>0</v>
      </c>
      <c r="AC60" s="232">
        <f t="shared" si="22"/>
        <v>0</v>
      </c>
      <c r="AD60" s="233">
        <f t="shared" si="19"/>
        <v>0</v>
      </c>
      <c r="AE60" s="234"/>
      <c r="AF60" s="234"/>
      <c r="AG60" s="233"/>
      <c r="AH60" s="151" t="e">
        <f t="shared" si="20"/>
        <v>#DIV/0!</v>
      </c>
      <c r="AI60" s="233"/>
      <c r="AJ60" s="151" t="e">
        <f t="shared" si="21"/>
        <v>#DIV/0!</v>
      </c>
      <c r="AK60" s="233"/>
      <c r="AL60" s="233"/>
      <c r="AM60" s="235"/>
      <c r="AN60" s="264"/>
      <c r="AO60" s="235"/>
      <c r="AP60" s="236"/>
      <c r="AQ60" s="39"/>
    </row>
    <row r="61" spans="1:43" s="24" customFormat="1" ht="20.25" customHeight="1">
      <c r="A61" s="214" t="s">
        <v>569</v>
      </c>
      <c r="B61" s="215" t="s">
        <v>278</v>
      </c>
      <c r="C61" s="216" t="s">
        <v>570</v>
      </c>
      <c r="D61" s="217" t="s">
        <v>278</v>
      </c>
      <c r="E61" s="218">
        <v>1</v>
      </c>
      <c r="F61" s="221"/>
      <c r="G61" s="221"/>
      <c r="H61" s="221"/>
      <c r="I61" s="221"/>
      <c r="J61" s="222"/>
      <c r="K61" s="221"/>
      <c r="L61" s="221"/>
      <c r="M61" s="221"/>
      <c r="N61" s="220">
        <f>N62+N63+N64+N65</f>
        <v>0</v>
      </c>
      <c r="O61" s="220">
        <f>O62+O63+O64+O65</f>
        <v>0</v>
      </c>
      <c r="P61" s="220">
        <f t="shared" si="12"/>
        <v>0</v>
      </c>
      <c r="Q61" s="220">
        <f>Q62+Q63+Q64+Q65</f>
        <v>0</v>
      </c>
      <c r="R61" s="220">
        <f>R62+R63+R64+R65</f>
        <v>0</v>
      </c>
      <c r="S61" s="220">
        <f>S62+S63+S64+S65</f>
        <v>0</v>
      </c>
      <c r="T61" s="220">
        <f t="shared" si="13"/>
        <v>0</v>
      </c>
      <c r="U61" s="222" t="e">
        <f t="shared" si="16"/>
        <v>#DIV/0!</v>
      </c>
      <c r="V61" s="222">
        <f>V62+V63+V64+V65</f>
        <v>0</v>
      </c>
      <c r="W61" s="220">
        <f>W62+W63+W64+W65</f>
        <v>0</v>
      </c>
      <c r="X61" s="222">
        <f>X62+X63+X64+X65</f>
        <v>0</v>
      </c>
      <c r="Y61" s="221" t="e">
        <f t="shared" si="17"/>
        <v>#DIV/0!</v>
      </c>
      <c r="Z61" s="220">
        <f t="shared" si="18"/>
        <v>0</v>
      </c>
      <c r="AA61" s="220">
        <f>AA62+AA63+AA64+AA65</f>
        <v>0</v>
      </c>
      <c r="AB61" s="220">
        <f t="shared" si="11"/>
        <v>0</v>
      </c>
      <c r="AC61" s="220">
        <f t="shared" si="22"/>
        <v>0</v>
      </c>
      <c r="AD61" s="220">
        <f t="shared" si="19"/>
        <v>0</v>
      </c>
      <c r="AE61" s="222"/>
      <c r="AF61" s="222"/>
      <c r="AG61" s="220">
        <f>AG62+AG63+AG64+AG65</f>
        <v>0</v>
      </c>
      <c r="AH61" s="221" t="e">
        <f t="shared" si="20"/>
        <v>#DIV/0!</v>
      </c>
      <c r="AI61" s="220">
        <f>AI62+AI63+AI64+AI65</f>
        <v>0</v>
      </c>
      <c r="AJ61" s="221" t="e">
        <f t="shared" si="21"/>
        <v>#DIV/0!</v>
      </c>
      <c r="AK61" s="220">
        <f>AK62+AK63+AK64+AK65</f>
        <v>0</v>
      </c>
      <c r="AL61" s="220">
        <f>AL62+AL63+AL64+AL65</f>
        <v>0</v>
      </c>
      <c r="AM61" s="223"/>
      <c r="AN61" s="263"/>
      <c r="AO61" s="223"/>
      <c r="AP61" s="225"/>
      <c r="AQ61" s="38"/>
    </row>
    <row r="62" spans="1:43" s="24" customFormat="1" ht="20.25" customHeight="1" outlineLevel="1">
      <c r="A62" s="226">
        <v>4.0999999999999996</v>
      </c>
      <c r="B62" s="227" t="s">
        <v>571</v>
      </c>
      <c r="C62" s="228" t="s">
        <v>572</v>
      </c>
      <c r="D62" s="229" t="s">
        <v>573</v>
      </c>
      <c r="E62" s="147">
        <v>2</v>
      </c>
      <c r="F62" s="230"/>
      <c r="G62" s="230"/>
      <c r="H62" s="230"/>
      <c r="I62" s="230"/>
      <c r="J62" s="110"/>
      <c r="K62" s="230"/>
      <c r="L62" s="230"/>
      <c r="M62" s="230"/>
      <c r="N62" s="232">
        <f t="shared" ref="N62:N68" si="23">X62</f>
        <v>0</v>
      </c>
      <c r="O62" s="232">
        <f>('项目月度业主产值表-表3.1'!O6*项目收支汇总表!C115)-N62</f>
        <v>0</v>
      </c>
      <c r="P62" s="232">
        <f t="shared" si="12"/>
        <v>0</v>
      </c>
      <c r="Q62" s="232"/>
      <c r="R62" s="232"/>
      <c r="S62" s="232"/>
      <c r="T62" s="232">
        <f t="shared" si="13"/>
        <v>0</v>
      </c>
      <c r="U62" s="151" t="e">
        <f t="shared" si="16"/>
        <v>#DIV/0!</v>
      </c>
      <c r="V62" s="276">
        <f t="shared" ref="V62:V68" si="24">X62</f>
        <v>0</v>
      </c>
      <c r="W62" s="276"/>
      <c r="X62" s="234">
        <f>LOOKUP(1,0/(项目收支汇总表!A5:A306="4.3.6"),项目收支汇总表!C5:C306)</f>
        <v>0</v>
      </c>
      <c r="Y62" s="151" t="e">
        <f t="shared" si="17"/>
        <v>#DIV/0!</v>
      </c>
      <c r="Z62" s="233">
        <f t="shared" si="18"/>
        <v>0</v>
      </c>
      <c r="AA62" s="233"/>
      <c r="AB62" s="232">
        <f t="shared" si="11"/>
        <v>0</v>
      </c>
      <c r="AC62" s="232">
        <f t="shared" si="22"/>
        <v>0</v>
      </c>
      <c r="AD62" s="233">
        <f t="shared" si="19"/>
        <v>0</v>
      </c>
      <c r="AE62" s="234"/>
      <c r="AF62" s="234"/>
      <c r="AG62" s="233"/>
      <c r="AH62" s="151" t="e">
        <f t="shared" si="20"/>
        <v>#DIV/0!</v>
      </c>
      <c r="AI62" s="233"/>
      <c r="AJ62" s="151" t="e">
        <f t="shared" si="21"/>
        <v>#DIV/0!</v>
      </c>
      <c r="AK62" s="233"/>
      <c r="AL62" s="233"/>
      <c r="AM62" s="235"/>
      <c r="AN62" s="264"/>
      <c r="AO62" s="235"/>
      <c r="AP62" s="236"/>
      <c r="AQ62" s="39"/>
    </row>
    <row r="63" spans="1:43" s="24" customFormat="1" ht="20.25" customHeight="1" outlineLevel="1">
      <c r="A63" s="226">
        <v>4.2</v>
      </c>
      <c r="B63" s="227" t="s">
        <v>574</v>
      </c>
      <c r="C63" s="228" t="s">
        <v>575</v>
      </c>
      <c r="D63" s="229" t="s">
        <v>573</v>
      </c>
      <c r="E63" s="147">
        <v>2</v>
      </c>
      <c r="F63" s="230"/>
      <c r="G63" s="230"/>
      <c r="H63" s="230"/>
      <c r="I63" s="230"/>
      <c r="J63" s="110"/>
      <c r="K63" s="230"/>
      <c r="L63" s="230"/>
      <c r="M63" s="230"/>
      <c r="N63" s="232">
        <f t="shared" si="23"/>
        <v>0</v>
      </c>
      <c r="O63" s="232">
        <f>O62*0.12</f>
        <v>0</v>
      </c>
      <c r="P63" s="232">
        <f t="shared" si="12"/>
        <v>0</v>
      </c>
      <c r="Q63" s="232"/>
      <c r="R63" s="232"/>
      <c r="S63" s="232"/>
      <c r="T63" s="232">
        <f t="shared" si="13"/>
        <v>0</v>
      </c>
      <c r="U63" s="151" t="e">
        <f t="shared" si="16"/>
        <v>#DIV/0!</v>
      </c>
      <c r="V63" s="276">
        <f t="shared" si="24"/>
        <v>0</v>
      </c>
      <c r="W63" s="276"/>
      <c r="X63" s="234">
        <f>LOOKUP(1,0/(项目收支汇总表!A5:A306="4.3.7"),项目收支汇总表!C5:C306)</f>
        <v>0</v>
      </c>
      <c r="Y63" s="151" t="e">
        <f t="shared" si="17"/>
        <v>#DIV/0!</v>
      </c>
      <c r="Z63" s="233">
        <f t="shared" si="18"/>
        <v>0</v>
      </c>
      <c r="AA63" s="233"/>
      <c r="AB63" s="232">
        <f t="shared" si="11"/>
        <v>0</v>
      </c>
      <c r="AC63" s="232">
        <f t="shared" si="22"/>
        <v>0</v>
      </c>
      <c r="AD63" s="233">
        <f t="shared" si="19"/>
        <v>0</v>
      </c>
      <c r="AE63" s="234"/>
      <c r="AF63" s="234"/>
      <c r="AG63" s="233"/>
      <c r="AH63" s="151" t="e">
        <f t="shared" si="20"/>
        <v>#DIV/0!</v>
      </c>
      <c r="AI63" s="233"/>
      <c r="AJ63" s="151" t="e">
        <f t="shared" si="21"/>
        <v>#DIV/0!</v>
      </c>
      <c r="AK63" s="233"/>
      <c r="AL63" s="233"/>
      <c r="AM63" s="235"/>
      <c r="AN63" s="264"/>
      <c r="AO63" s="235"/>
      <c r="AP63" s="236"/>
      <c r="AQ63" s="39"/>
    </row>
    <row r="64" spans="1:43" s="24" customFormat="1" ht="20.25" customHeight="1" outlineLevel="1">
      <c r="A64" s="226">
        <v>4.3</v>
      </c>
      <c r="B64" s="227" t="s">
        <v>576</v>
      </c>
      <c r="C64" s="228" t="s">
        <v>577</v>
      </c>
      <c r="D64" s="229" t="s">
        <v>573</v>
      </c>
      <c r="E64" s="147">
        <v>2</v>
      </c>
      <c r="F64" s="230"/>
      <c r="G64" s="230"/>
      <c r="H64" s="230"/>
      <c r="I64" s="230"/>
      <c r="J64" s="110"/>
      <c r="K64" s="230"/>
      <c r="L64" s="230"/>
      <c r="M64" s="230"/>
      <c r="N64" s="232">
        <f t="shared" si="23"/>
        <v>0</v>
      </c>
      <c r="O64" s="232"/>
      <c r="P64" s="232">
        <f t="shared" si="12"/>
        <v>0</v>
      </c>
      <c r="Q64" s="232"/>
      <c r="R64" s="232"/>
      <c r="S64" s="232"/>
      <c r="T64" s="232">
        <f t="shared" si="13"/>
        <v>0</v>
      </c>
      <c r="U64" s="151" t="e">
        <f t="shared" si="16"/>
        <v>#DIV/0!</v>
      </c>
      <c r="V64" s="276">
        <f t="shared" si="24"/>
        <v>0</v>
      </c>
      <c r="W64" s="276"/>
      <c r="X64" s="234">
        <f>LOOKUP(1,0/(项目收支汇总表!A5:A306="4.3.8"),项目收支汇总表!C5:C306)</f>
        <v>0</v>
      </c>
      <c r="Y64" s="151" t="e">
        <f t="shared" si="17"/>
        <v>#DIV/0!</v>
      </c>
      <c r="Z64" s="233">
        <f t="shared" si="18"/>
        <v>0</v>
      </c>
      <c r="AA64" s="233"/>
      <c r="AB64" s="232">
        <f t="shared" si="11"/>
        <v>0</v>
      </c>
      <c r="AC64" s="232">
        <f t="shared" si="22"/>
        <v>0</v>
      </c>
      <c r="AD64" s="233">
        <f t="shared" si="19"/>
        <v>0</v>
      </c>
      <c r="AE64" s="234"/>
      <c r="AF64" s="234"/>
      <c r="AG64" s="233"/>
      <c r="AH64" s="151" t="e">
        <f t="shared" si="20"/>
        <v>#DIV/0!</v>
      </c>
      <c r="AI64" s="233"/>
      <c r="AJ64" s="151" t="e">
        <f t="shared" si="21"/>
        <v>#DIV/0!</v>
      </c>
      <c r="AK64" s="233"/>
      <c r="AL64" s="233"/>
      <c r="AM64" s="235"/>
      <c r="AN64" s="264"/>
      <c r="AO64" s="235"/>
      <c r="AP64" s="236" t="s">
        <v>578</v>
      </c>
      <c r="AQ64" s="39"/>
    </row>
    <row r="65" spans="1:43" s="24" customFormat="1" ht="20.25" customHeight="1" outlineLevel="1">
      <c r="A65" s="226">
        <v>4.4000000000000004</v>
      </c>
      <c r="B65" s="227" t="s">
        <v>579</v>
      </c>
      <c r="C65" s="228" t="s">
        <v>580</v>
      </c>
      <c r="D65" s="229" t="s">
        <v>573</v>
      </c>
      <c r="E65" s="147">
        <v>2</v>
      </c>
      <c r="F65" s="230"/>
      <c r="G65" s="230"/>
      <c r="H65" s="230"/>
      <c r="I65" s="230"/>
      <c r="J65" s="110"/>
      <c r="K65" s="230"/>
      <c r="L65" s="230"/>
      <c r="M65" s="230"/>
      <c r="N65" s="232">
        <f t="shared" si="23"/>
        <v>0</v>
      </c>
      <c r="O65" s="232"/>
      <c r="P65" s="232">
        <f t="shared" si="12"/>
        <v>0</v>
      </c>
      <c r="Q65" s="232"/>
      <c r="R65" s="232"/>
      <c r="S65" s="232"/>
      <c r="T65" s="232">
        <f t="shared" si="13"/>
        <v>0</v>
      </c>
      <c r="U65" s="151" t="e">
        <f t="shared" si="16"/>
        <v>#DIV/0!</v>
      </c>
      <c r="V65" s="276">
        <f t="shared" si="24"/>
        <v>0</v>
      </c>
      <c r="W65" s="276"/>
      <c r="X65" s="234">
        <f>SUM(SUMIF(项目收支汇总表!A5:A306,{"4.3.9","4.3.10"},项目收支汇总表!C5:C306))</f>
        <v>0</v>
      </c>
      <c r="Y65" s="151" t="e">
        <f t="shared" si="17"/>
        <v>#DIV/0!</v>
      </c>
      <c r="Z65" s="233">
        <f t="shared" si="18"/>
        <v>0</v>
      </c>
      <c r="AA65" s="233"/>
      <c r="AB65" s="232">
        <f t="shared" si="11"/>
        <v>0</v>
      </c>
      <c r="AC65" s="232">
        <f t="shared" si="22"/>
        <v>0</v>
      </c>
      <c r="AD65" s="233">
        <f t="shared" si="19"/>
        <v>0</v>
      </c>
      <c r="AE65" s="234"/>
      <c r="AF65" s="234"/>
      <c r="AG65" s="233"/>
      <c r="AH65" s="151" t="e">
        <f t="shared" si="20"/>
        <v>#DIV/0!</v>
      </c>
      <c r="AI65" s="233"/>
      <c r="AJ65" s="151" t="e">
        <f t="shared" si="21"/>
        <v>#DIV/0!</v>
      </c>
      <c r="AK65" s="233"/>
      <c r="AL65" s="233"/>
      <c r="AM65" s="235"/>
      <c r="AN65" s="264"/>
      <c r="AO65" s="235"/>
      <c r="AP65" s="236" t="s">
        <v>581</v>
      </c>
      <c r="AQ65" s="39"/>
    </row>
    <row r="66" spans="1:43" s="24" customFormat="1" ht="20.25" customHeight="1">
      <c r="A66" s="214" t="s">
        <v>582</v>
      </c>
      <c r="B66" s="215" t="s">
        <v>583</v>
      </c>
      <c r="C66" s="216" t="s">
        <v>584</v>
      </c>
      <c r="D66" s="217" t="s">
        <v>279</v>
      </c>
      <c r="E66" s="218">
        <v>1</v>
      </c>
      <c r="F66" s="221"/>
      <c r="G66" s="221"/>
      <c r="H66" s="221"/>
      <c r="I66" s="221"/>
      <c r="J66" s="222"/>
      <c r="K66" s="221"/>
      <c r="L66" s="221"/>
      <c r="M66" s="221"/>
      <c r="N66" s="220">
        <f t="shared" si="23"/>
        <v>0</v>
      </c>
      <c r="O66" s="220">
        <f>($P$2*'项目月度业主产值表-表3.1'!O6)-N66</f>
        <v>0</v>
      </c>
      <c r="P66" s="220">
        <f t="shared" si="12"/>
        <v>0</v>
      </c>
      <c r="Q66" s="220"/>
      <c r="R66" s="220"/>
      <c r="S66" s="220"/>
      <c r="T66" s="220">
        <f t="shared" si="13"/>
        <v>0</v>
      </c>
      <c r="U66" s="278" t="e">
        <f t="shared" si="16"/>
        <v>#DIV/0!</v>
      </c>
      <c r="V66" s="279">
        <f t="shared" si="24"/>
        <v>0</v>
      </c>
      <c r="W66" s="279"/>
      <c r="X66" s="280">
        <f>LOOKUP(1,0/(项目收支汇总表!A5:A306="3.2"),项目收支汇总表!C5:C306)</f>
        <v>0</v>
      </c>
      <c r="Y66" s="278" t="e">
        <f t="shared" si="17"/>
        <v>#DIV/0!</v>
      </c>
      <c r="Z66" s="220">
        <f t="shared" si="18"/>
        <v>0</v>
      </c>
      <c r="AA66" s="220"/>
      <c r="AB66" s="220">
        <f t="shared" si="11"/>
        <v>0</v>
      </c>
      <c r="AC66" s="220">
        <f t="shared" si="22"/>
        <v>0</v>
      </c>
      <c r="AD66" s="220">
        <f t="shared" si="19"/>
        <v>0</v>
      </c>
      <c r="AE66" s="280"/>
      <c r="AF66" s="280"/>
      <c r="AG66" s="281"/>
      <c r="AH66" s="278" t="e">
        <f t="shared" si="20"/>
        <v>#DIV/0!</v>
      </c>
      <c r="AI66" s="281"/>
      <c r="AJ66" s="278" t="e">
        <f t="shared" si="21"/>
        <v>#DIV/0!</v>
      </c>
      <c r="AK66" s="281"/>
      <c r="AL66" s="281"/>
      <c r="AM66" s="223"/>
      <c r="AN66" s="263"/>
      <c r="AO66" s="223"/>
      <c r="AP66" s="225"/>
      <c r="AQ66" s="38"/>
    </row>
    <row r="67" spans="1:43" s="24" customFormat="1" ht="20.25" customHeight="1">
      <c r="A67" s="214" t="s">
        <v>585</v>
      </c>
      <c r="B67" s="215" t="s">
        <v>586</v>
      </c>
      <c r="C67" s="216" t="s">
        <v>587</v>
      </c>
      <c r="D67" s="217" t="s">
        <v>588</v>
      </c>
      <c r="E67" s="218">
        <v>1</v>
      </c>
      <c r="F67" s="221"/>
      <c r="G67" s="221"/>
      <c r="H67" s="221"/>
      <c r="I67" s="221"/>
      <c r="J67" s="222"/>
      <c r="K67" s="221"/>
      <c r="L67" s="221"/>
      <c r="M67" s="221"/>
      <c r="N67" s="220">
        <f t="shared" si="23"/>
        <v>0</v>
      </c>
      <c r="O67" s="220"/>
      <c r="P67" s="220">
        <f t="shared" si="12"/>
        <v>0</v>
      </c>
      <c r="Q67" s="220"/>
      <c r="R67" s="220"/>
      <c r="S67" s="220"/>
      <c r="T67" s="220">
        <f t="shared" si="13"/>
        <v>0</v>
      </c>
      <c r="U67" s="278" t="e">
        <f t="shared" si="16"/>
        <v>#DIV/0!</v>
      </c>
      <c r="V67" s="279">
        <f t="shared" si="24"/>
        <v>0</v>
      </c>
      <c r="W67" s="279"/>
      <c r="X67" s="280"/>
      <c r="Y67" s="278" t="e">
        <f t="shared" si="17"/>
        <v>#DIV/0!</v>
      </c>
      <c r="Z67" s="220">
        <f t="shared" si="18"/>
        <v>0</v>
      </c>
      <c r="AA67" s="220"/>
      <c r="AB67" s="220">
        <f t="shared" si="11"/>
        <v>0</v>
      </c>
      <c r="AC67" s="220">
        <f t="shared" si="22"/>
        <v>0</v>
      </c>
      <c r="AD67" s="220">
        <f t="shared" si="19"/>
        <v>0</v>
      </c>
      <c r="AE67" s="280"/>
      <c r="AF67" s="280"/>
      <c r="AG67" s="281"/>
      <c r="AH67" s="278" t="e">
        <f t="shared" si="20"/>
        <v>#DIV/0!</v>
      </c>
      <c r="AI67" s="281"/>
      <c r="AJ67" s="278" t="e">
        <f t="shared" si="21"/>
        <v>#DIV/0!</v>
      </c>
      <c r="AK67" s="281"/>
      <c r="AL67" s="281"/>
      <c r="AM67" s="223"/>
      <c r="AN67" s="263"/>
      <c r="AO67" s="223"/>
      <c r="AP67" s="225"/>
      <c r="AQ67" s="38"/>
    </row>
    <row r="68" spans="1:43" s="24" customFormat="1" ht="24.75" customHeight="1">
      <c r="A68" s="214" t="s">
        <v>589</v>
      </c>
      <c r="B68" s="215" t="s">
        <v>590</v>
      </c>
      <c r="C68" s="216" t="s">
        <v>591</v>
      </c>
      <c r="D68" s="217" t="s">
        <v>590</v>
      </c>
      <c r="E68" s="218">
        <v>1</v>
      </c>
      <c r="F68" s="221"/>
      <c r="G68" s="221"/>
      <c r="H68" s="221"/>
      <c r="I68" s="221"/>
      <c r="J68" s="222"/>
      <c r="K68" s="221"/>
      <c r="L68" s="221"/>
      <c r="M68" s="221"/>
      <c r="N68" s="220">
        <f t="shared" si="23"/>
        <v>0</v>
      </c>
      <c r="O68" s="220"/>
      <c r="P68" s="220">
        <f t="shared" si="12"/>
        <v>0</v>
      </c>
      <c r="Q68" s="220"/>
      <c r="R68" s="220"/>
      <c r="S68" s="220"/>
      <c r="T68" s="220">
        <f t="shared" si="13"/>
        <v>0</v>
      </c>
      <c r="U68" s="278" t="e">
        <f t="shared" si="16"/>
        <v>#DIV/0!</v>
      </c>
      <c r="V68" s="279">
        <f t="shared" si="24"/>
        <v>0</v>
      </c>
      <c r="W68" s="279"/>
      <c r="X68" s="280"/>
      <c r="Y68" s="278" t="e">
        <f t="shared" si="17"/>
        <v>#DIV/0!</v>
      </c>
      <c r="Z68" s="220">
        <f t="shared" si="18"/>
        <v>0</v>
      </c>
      <c r="AA68" s="220"/>
      <c r="AB68" s="220">
        <f t="shared" si="11"/>
        <v>0</v>
      </c>
      <c r="AC68" s="220">
        <f t="shared" si="22"/>
        <v>0</v>
      </c>
      <c r="AD68" s="220">
        <f t="shared" si="19"/>
        <v>0</v>
      </c>
      <c r="AE68" s="280"/>
      <c r="AF68" s="280"/>
      <c r="AG68" s="281"/>
      <c r="AH68" s="278" t="e">
        <f t="shared" si="20"/>
        <v>#DIV/0!</v>
      </c>
      <c r="AI68" s="281"/>
      <c r="AJ68" s="278" t="e">
        <f t="shared" si="21"/>
        <v>#DIV/0!</v>
      </c>
      <c r="AK68" s="281"/>
      <c r="AL68" s="281"/>
      <c r="AM68" s="223"/>
      <c r="AN68" s="263"/>
      <c r="AO68" s="223"/>
      <c r="AP68" s="225"/>
      <c r="AQ68" s="38"/>
    </row>
    <row r="69" spans="1:43" s="24" customFormat="1" ht="20.25" customHeight="1">
      <c r="A69" s="214" t="s">
        <v>592</v>
      </c>
      <c r="B69" s="215" t="s">
        <v>593</v>
      </c>
      <c r="C69" s="216" t="s">
        <v>594</v>
      </c>
      <c r="D69" s="217" t="s">
        <v>595</v>
      </c>
      <c r="E69" s="218">
        <v>1</v>
      </c>
      <c r="F69" s="221"/>
      <c r="G69" s="221"/>
      <c r="H69" s="221"/>
      <c r="I69" s="221"/>
      <c r="J69" s="222"/>
      <c r="K69" s="221"/>
      <c r="L69" s="221"/>
      <c r="M69" s="221"/>
      <c r="N69" s="220">
        <f>N7+N30+N57+N61+N66+N67+N68</f>
        <v>0</v>
      </c>
      <c r="O69" s="220">
        <f>O7+O30+O57+O61+O66+O67+O68</f>
        <v>0</v>
      </c>
      <c r="P69" s="220">
        <f t="shared" si="12"/>
        <v>0</v>
      </c>
      <c r="Q69" s="220">
        <f>Q7+Q30+Q57+Q61+Q66+Q67+Q68</f>
        <v>0</v>
      </c>
      <c r="R69" s="220">
        <f>R7+R30+R57+R61+R66+R67+R68</f>
        <v>0</v>
      </c>
      <c r="S69" s="220">
        <f>S7+S30+S57+S61+S66+S67+S68</f>
        <v>0</v>
      </c>
      <c r="T69" s="220">
        <f t="shared" si="13"/>
        <v>0</v>
      </c>
      <c r="U69" s="278" t="e">
        <f t="shared" si="16"/>
        <v>#DIV/0!</v>
      </c>
      <c r="V69" s="281">
        <f>V7+V30+V57+V61+V66+V67+V68</f>
        <v>0</v>
      </c>
      <c r="W69" s="281">
        <f>W7+W30+W57+W61+W66+W67+W68</f>
        <v>0</v>
      </c>
      <c r="X69" s="281">
        <f>X7+X30+X57+X61+X66+X67+X68</f>
        <v>0</v>
      </c>
      <c r="Y69" s="278" t="e">
        <f t="shared" si="17"/>
        <v>#DIV/0!</v>
      </c>
      <c r="Z69" s="220">
        <f t="shared" si="18"/>
        <v>0</v>
      </c>
      <c r="AA69" s="281">
        <f>AA7+AA30+AA57+AA61+AA66+AA67+AA68</f>
        <v>0</v>
      </c>
      <c r="AB69" s="220">
        <f t="shared" si="11"/>
        <v>0</v>
      </c>
      <c r="AC69" s="220">
        <f t="shared" si="22"/>
        <v>0</v>
      </c>
      <c r="AD69" s="220">
        <f t="shared" si="19"/>
        <v>0</v>
      </c>
      <c r="AE69" s="280"/>
      <c r="AF69" s="280"/>
      <c r="AG69" s="281">
        <f>AG7+AG30+AG57+AG61+AG66+AG67+AG68</f>
        <v>0</v>
      </c>
      <c r="AH69" s="278" t="e">
        <f t="shared" si="20"/>
        <v>#DIV/0!</v>
      </c>
      <c r="AI69" s="281">
        <f>AI7+AI30+AI57+AI61+AI66+AI67+AI68</f>
        <v>0</v>
      </c>
      <c r="AJ69" s="278" t="e">
        <f t="shared" si="21"/>
        <v>#DIV/0!</v>
      </c>
      <c r="AK69" s="281">
        <f>AK7+AK30+AK57+AK61+AK66+AK67+AK68</f>
        <v>0</v>
      </c>
      <c r="AL69" s="281">
        <f>AL7+AL30+AL57+AL61+AL66+AL67+AL68</f>
        <v>0</v>
      </c>
      <c r="AM69" s="223"/>
      <c r="AN69" s="263"/>
      <c r="AO69" s="223"/>
      <c r="AP69" s="225"/>
      <c r="AQ69" s="38"/>
    </row>
    <row r="70" spans="1:43" s="24" customFormat="1" ht="20.25" customHeight="1">
      <c r="A70" s="214" t="s">
        <v>596</v>
      </c>
      <c r="B70" s="215" t="s">
        <v>597</v>
      </c>
      <c r="C70" s="216" t="s">
        <v>598</v>
      </c>
      <c r="D70" s="217"/>
      <c r="E70" s="218">
        <v>1</v>
      </c>
      <c r="F70" s="221"/>
      <c r="G70" s="221"/>
      <c r="H70" s="221"/>
      <c r="I70" s="221"/>
      <c r="J70" s="222"/>
      <c r="K70" s="221"/>
      <c r="L70" s="221"/>
      <c r="M70" s="221"/>
      <c r="N70" s="220"/>
      <c r="O70" s="220"/>
      <c r="P70" s="220"/>
      <c r="Q70" s="220"/>
      <c r="R70" s="220"/>
      <c r="S70" s="220"/>
      <c r="T70" s="220"/>
      <c r="U70" s="278"/>
      <c r="V70" s="281">
        <f>V71+V76+V80</f>
        <v>0</v>
      </c>
      <c r="W70" s="281">
        <f>W71+W76+W80</f>
        <v>0</v>
      </c>
      <c r="X70" s="281">
        <f>X71+X76+X80</f>
        <v>0</v>
      </c>
      <c r="Y70" s="278"/>
      <c r="Z70" s="220">
        <v>0</v>
      </c>
      <c r="AA70" s="281">
        <f>AA71+AA76+AA80</f>
        <v>0</v>
      </c>
      <c r="AB70" s="281"/>
      <c r="AC70" s="281"/>
      <c r="AD70" s="281"/>
      <c r="AE70" s="280"/>
      <c r="AF70" s="280"/>
      <c r="AG70" s="281">
        <f>AG71+AG76+AG80</f>
        <v>0</v>
      </c>
      <c r="AH70" s="278"/>
      <c r="AI70" s="281">
        <f>AI71+AI76+AI80</f>
        <v>0</v>
      </c>
      <c r="AJ70" s="278"/>
      <c r="AK70" s="281">
        <f>AK71+AK76+AK80</f>
        <v>0</v>
      </c>
      <c r="AL70" s="281">
        <f>AL71+AL76+AL80</f>
        <v>0</v>
      </c>
      <c r="AM70" s="223"/>
      <c r="AN70" s="263"/>
      <c r="AO70" s="223"/>
      <c r="AP70" s="225"/>
      <c r="AQ70" s="38"/>
    </row>
    <row r="71" spans="1:43" s="24" customFormat="1" ht="20.25" customHeight="1" outlineLevel="1">
      <c r="A71" s="226">
        <v>9.1</v>
      </c>
      <c r="B71" s="227" t="s">
        <v>221</v>
      </c>
      <c r="C71" s="228" t="s">
        <v>599</v>
      </c>
      <c r="D71" s="229"/>
      <c r="E71" s="147">
        <v>2</v>
      </c>
      <c r="F71" s="230"/>
      <c r="G71" s="230"/>
      <c r="H71" s="230"/>
      <c r="I71" s="230"/>
      <c r="J71" s="110"/>
      <c r="K71" s="230"/>
      <c r="L71" s="230"/>
      <c r="M71" s="230"/>
      <c r="N71" s="232"/>
      <c r="O71" s="232"/>
      <c r="P71" s="232"/>
      <c r="Q71" s="232"/>
      <c r="R71" s="232"/>
      <c r="S71" s="232"/>
      <c r="T71" s="232"/>
      <c r="U71" s="151"/>
      <c r="V71" s="233">
        <f>SUM(V72:V75)</f>
        <v>0</v>
      </c>
      <c r="W71" s="233">
        <f>SUM(W72:W75)</f>
        <v>0</v>
      </c>
      <c r="X71" s="233">
        <f>SUM(X72:X75)</f>
        <v>0</v>
      </c>
      <c r="Y71" s="151"/>
      <c r="Z71" s="233">
        <v>0</v>
      </c>
      <c r="AA71" s="233">
        <f>SUM(AA72:AA75)</f>
        <v>0</v>
      </c>
      <c r="AB71" s="233"/>
      <c r="AC71" s="233"/>
      <c r="AD71" s="233"/>
      <c r="AE71" s="234"/>
      <c r="AF71" s="234"/>
      <c r="AG71" s="233">
        <f>SUM(AG72:AG75)</f>
        <v>0</v>
      </c>
      <c r="AH71" s="151"/>
      <c r="AI71" s="233">
        <f>SUM(AI72:AI75)</f>
        <v>0</v>
      </c>
      <c r="AJ71" s="151"/>
      <c r="AK71" s="233">
        <f>SUM(AK72:AK75)</f>
        <v>0</v>
      </c>
      <c r="AL71" s="233">
        <f>SUM(AL72:AL75)</f>
        <v>0</v>
      </c>
      <c r="AM71" s="235"/>
      <c r="AN71" s="264"/>
      <c r="AO71" s="235"/>
      <c r="AP71" s="236"/>
      <c r="AQ71" s="39"/>
    </row>
    <row r="72" spans="1:43" s="25" customFormat="1" ht="23.25" customHeight="1" outlineLevel="2">
      <c r="A72" s="272" t="s">
        <v>600</v>
      </c>
      <c r="B72" s="270" t="s">
        <v>281</v>
      </c>
      <c r="C72" s="252" t="s">
        <v>601</v>
      </c>
      <c r="D72" s="282"/>
      <c r="E72" s="268">
        <v>3</v>
      </c>
      <c r="F72" s="283"/>
      <c r="G72" s="283"/>
      <c r="H72" s="283"/>
      <c r="I72" s="283"/>
      <c r="J72" s="284"/>
      <c r="K72" s="283"/>
      <c r="L72" s="283"/>
      <c r="M72" s="283"/>
      <c r="N72" s="107"/>
      <c r="O72" s="107"/>
      <c r="P72" s="107"/>
      <c r="Q72" s="107"/>
      <c r="R72" s="107"/>
      <c r="S72" s="107"/>
      <c r="T72" s="107"/>
      <c r="U72" s="243"/>
      <c r="V72" s="285"/>
      <c r="W72" s="285"/>
      <c r="X72" s="286">
        <f>LOOKUP(1,0/(项目收支汇总表!A5:A306="2.9.2"),项目收支汇总表!C5:C306)+LOOKUP(1,0/(项目收支汇总表!A5:A306="2.9.3"),项目收支汇总表!C5:C306)</f>
        <v>0</v>
      </c>
      <c r="Y72" s="287"/>
      <c r="Z72" s="244">
        <v>0</v>
      </c>
      <c r="AA72" s="244"/>
      <c r="AB72" s="285"/>
      <c r="AC72" s="285"/>
      <c r="AD72" s="285"/>
      <c r="AE72" s="288"/>
      <c r="AF72" s="288"/>
      <c r="AG72" s="285"/>
      <c r="AH72" s="287"/>
      <c r="AI72" s="285"/>
      <c r="AJ72" s="287"/>
      <c r="AK72" s="285"/>
      <c r="AL72" s="285"/>
      <c r="AM72" s="289"/>
      <c r="AN72" s="290"/>
      <c r="AO72" s="289"/>
      <c r="AP72" s="291"/>
      <c r="AQ72" s="45"/>
    </row>
    <row r="73" spans="1:43" s="25" customFormat="1" ht="20.25" customHeight="1" outlineLevel="2">
      <c r="A73" s="272" t="s">
        <v>602</v>
      </c>
      <c r="B73" s="292" t="s">
        <v>282</v>
      </c>
      <c r="C73" s="252" t="s">
        <v>603</v>
      </c>
      <c r="D73" s="282"/>
      <c r="E73" s="268">
        <v>3</v>
      </c>
      <c r="F73" s="283"/>
      <c r="G73" s="283"/>
      <c r="H73" s="283"/>
      <c r="I73" s="283"/>
      <c r="J73" s="284"/>
      <c r="K73" s="283"/>
      <c r="L73" s="283"/>
      <c r="M73" s="283"/>
      <c r="N73" s="107"/>
      <c r="O73" s="107"/>
      <c r="P73" s="107"/>
      <c r="Q73" s="107"/>
      <c r="R73" s="107"/>
      <c r="S73" s="107"/>
      <c r="T73" s="107"/>
      <c r="U73" s="243"/>
      <c r="V73" s="285"/>
      <c r="W73" s="285"/>
      <c r="X73" s="286">
        <f>LOOKUP(1,0/(项目收支汇总表!A5:A306="2.10.2"),项目收支汇总表!C5:C306)+LOOKUP(1,0/(项目收支汇总表!A5:A306="2.10.3"),项目收支汇总表!C5:C306)</f>
        <v>0</v>
      </c>
      <c r="Y73" s="287"/>
      <c r="Z73" s="244">
        <v>0</v>
      </c>
      <c r="AA73" s="244"/>
      <c r="AB73" s="285"/>
      <c r="AC73" s="285"/>
      <c r="AD73" s="285"/>
      <c r="AE73" s="288"/>
      <c r="AF73" s="288"/>
      <c r="AG73" s="285"/>
      <c r="AH73" s="287"/>
      <c r="AI73" s="285"/>
      <c r="AJ73" s="287"/>
      <c r="AK73" s="285"/>
      <c r="AL73" s="285"/>
      <c r="AM73" s="289"/>
      <c r="AN73" s="290"/>
      <c r="AO73" s="289"/>
      <c r="AP73" s="291"/>
      <c r="AQ73" s="45"/>
    </row>
    <row r="74" spans="1:43" s="25" customFormat="1" ht="20.25" customHeight="1" outlineLevel="2">
      <c r="A74" s="272" t="s">
        <v>604</v>
      </c>
      <c r="B74" s="292" t="s">
        <v>283</v>
      </c>
      <c r="C74" s="252" t="s">
        <v>605</v>
      </c>
      <c r="D74" s="282"/>
      <c r="E74" s="268">
        <v>3</v>
      </c>
      <c r="F74" s="283"/>
      <c r="G74" s="283"/>
      <c r="H74" s="283"/>
      <c r="I74" s="283"/>
      <c r="J74" s="284"/>
      <c r="K74" s="283"/>
      <c r="L74" s="283"/>
      <c r="M74" s="283"/>
      <c r="N74" s="107"/>
      <c r="O74" s="107"/>
      <c r="P74" s="107"/>
      <c r="Q74" s="107"/>
      <c r="R74" s="107"/>
      <c r="S74" s="107"/>
      <c r="T74" s="107"/>
      <c r="U74" s="243"/>
      <c r="V74" s="285"/>
      <c r="W74" s="285"/>
      <c r="X74" s="286">
        <v>0</v>
      </c>
      <c r="Y74" s="287"/>
      <c r="Z74" s="244">
        <v>0</v>
      </c>
      <c r="AA74" s="244"/>
      <c r="AB74" s="285"/>
      <c r="AC74" s="285"/>
      <c r="AD74" s="285"/>
      <c r="AE74" s="288"/>
      <c r="AF74" s="288"/>
      <c r="AG74" s="285"/>
      <c r="AH74" s="287"/>
      <c r="AI74" s="285"/>
      <c r="AJ74" s="287"/>
      <c r="AK74" s="285"/>
      <c r="AL74" s="285"/>
      <c r="AM74" s="289"/>
      <c r="AN74" s="290"/>
      <c r="AO74" s="289"/>
      <c r="AP74" s="291"/>
      <c r="AQ74" s="45"/>
    </row>
    <row r="75" spans="1:43" s="25" customFormat="1" ht="20.25" customHeight="1" outlineLevel="2">
      <c r="A75" s="272" t="s">
        <v>606</v>
      </c>
      <c r="B75" s="292" t="s">
        <v>284</v>
      </c>
      <c r="C75" s="252" t="s">
        <v>607</v>
      </c>
      <c r="D75" s="282"/>
      <c r="E75" s="268">
        <v>3</v>
      </c>
      <c r="F75" s="283"/>
      <c r="G75" s="283"/>
      <c r="H75" s="283"/>
      <c r="I75" s="283"/>
      <c r="J75" s="284"/>
      <c r="K75" s="283"/>
      <c r="L75" s="283"/>
      <c r="M75" s="283"/>
      <c r="N75" s="107"/>
      <c r="O75" s="107"/>
      <c r="P75" s="107"/>
      <c r="Q75" s="107"/>
      <c r="R75" s="107"/>
      <c r="S75" s="107"/>
      <c r="T75" s="107"/>
      <c r="U75" s="243"/>
      <c r="V75" s="285"/>
      <c r="W75" s="285"/>
      <c r="X75" s="286">
        <f>LOOKUP(1,0/(项目收支汇总表!A5:A306="2.11.2"),项目收支汇总表!C5:C306)</f>
        <v>0</v>
      </c>
      <c r="Y75" s="287"/>
      <c r="Z75" s="244">
        <v>0</v>
      </c>
      <c r="AA75" s="244"/>
      <c r="AB75" s="285"/>
      <c r="AC75" s="285"/>
      <c r="AD75" s="285"/>
      <c r="AE75" s="288"/>
      <c r="AF75" s="288"/>
      <c r="AG75" s="285"/>
      <c r="AH75" s="287"/>
      <c r="AI75" s="285"/>
      <c r="AJ75" s="287"/>
      <c r="AK75" s="285"/>
      <c r="AL75" s="285"/>
      <c r="AM75" s="289"/>
      <c r="AN75" s="290"/>
      <c r="AO75" s="289"/>
      <c r="AP75" s="291"/>
      <c r="AQ75" s="45"/>
    </row>
    <row r="76" spans="1:43" s="24" customFormat="1" ht="20.25" customHeight="1" outlineLevel="1">
      <c r="A76" s="226">
        <v>9.1999999999999993</v>
      </c>
      <c r="B76" s="227" t="s">
        <v>222</v>
      </c>
      <c r="C76" s="228" t="s">
        <v>608</v>
      </c>
      <c r="D76" s="229"/>
      <c r="E76" s="147">
        <v>2</v>
      </c>
      <c r="F76" s="230"/>
      <c r="G76" s="230"/>
      <c r="H76" s="230"/>
      <c r="I76" s="230"/>
      <c r="J76" s="110"/>
      <c r="K76" s="230"/>
      <c r="L76" s="230"/>
      <c r="M76" s="230"/>
      <c r="N76" s="232"/>
      <c r="O76" s="232"/>
      <c r="P76" s="232"/>
      <c r="Q76" s="232"/>
      <c r="R76" s="232"/>
      <c r="S76" s="232"/>
      <c r="T76" s="232"/>
      <c r="U76" s="151"/>
      <c r="V76" s="233">
        <f>SUM(V77:V79)</f>
        <v>0</v>
      </c>
      <c r="W76" s="233">
        <f>SUM(W77:W79)</f>
        <v>0</v>
      </c>
      <c r="X76" s="233">
        <f>SUM(X77:X79)</f>
        <v>0</v>
      </c>
      <c r="Y76" s="151"/>
      <c r="Z76" s="233">
        <v>0</v>
      </c>
      <c r="AA76" s="233">
        <f>SUM(AA77:AA79)</f>
        <v>0</v>
      </c>
      <c r="AB76" s="233"/>
      <c r="AC76" s="233"/>
      <c r="AD76" s="233"/>
      <c r="AE76" s="234"/>
      <c r="AF76" s="234"/>
      <c r="AG76" s="233">
        <f>SUM(AG77:AG79)</f>
        <v>0</v>
      </c>
      <c r="AH76" s="151"/>
      <c r="AI76" s="233">
        <f>SUM(AI77:AI79)</f>
        <v>0</v>
      </c>
      <c r="AJ76" s="151"/>
      <c r="AK76" s="233">
        <f>SUM(AK77:AK79)</f>
        <v>0</v>
      </c>
      <c r="AL76" s="233">
        <f>SUM(AL77:AL79)</f>
        <v>0</v>
      </c>
      <c r="AM76" s="235"/>
      <c r="AN76" s="264"/>
      <c r="AO76" s="235"/>
      <c r="AP76" s="236"/>
      <c r="AQ76" s="39"/>
    </row>
    <row r="77" spans="1:43" s="25" customFormat="1" ht="20.25" customHeight="1" outlineLevel="2">
      <c r="A77" s="117" t="s">
        <v>609</v>
      </c>
      <c r="B77" s="292" t="s">
        <v>285</v>
      </c>
      <c r="C77" s="293" t="s">
        <v>610</v>
      </c>
      <c r="D77" s="282"/>
      <c r="E77" s="268">
        <v>3</v>
      </c>
      <c r="F77" s="283"/>
      <c r="G77" s="283"/>
      <c r="H77" s="283"/>
      <c r="I77" s="283"/>
      <c r="J77" s="284"/>
      <c r="K77" s="283"/>
      <c r="L77" s="283"/>
      <c r="M77" s="283"/>
      <c r="N77" s="107"/>
      <c r="O77" s="107"/>
      <c r="P77" s="107"/>
      <c r="Q77" s="107"/>
      <c r="R77" s="107"/>
      <c r="S77" s="107"/>
      <c r="T77" s="107"/>
      <c r="U77" s="243"/>
      <c r="V77" s="285"/>
      <c r="W77" s="285"/>
      <c r="X77" s="286">
        <f>LOOKUP(1,0/(项目收支汇总表!A5:A306="2.12.2"),项目收支汇总表!C5:C306)</f>
        <v>0</v>
      </c>
      <c r="Y77" s="287"/>
      <c r="Z77" s="244">
        <v>0</v>
      </c>
      <c r="AA77" s="244"/>
      <c r="AB77" s="285"/>
      <c r="AC77" s="285"/>
      <c r="AD77" s="285"/>
      <c r="AE77" s="288"/>
      <c r="AF77" s="288"/>
      <c r="AG77" s="285"/>
      <c r="AH77" s="287"/>
      <c r="AI77" s="285"/>
      <c r="AJ77" s="287"/>
      <c r="AK77" s="285"/>
      <c r="AL77" s="285"/>
      <c r="AM77" s="289"/>
      <c r="AN77" s="290"/>
      <c r="AO77" s="289"/>
      <c r="AP77" s="291"/>
      <c r="AQ77" s="45"/>
    </row>
    <row r="78" spans="1:43" s="25" customFormat="1" ht="20.25" customHeight="1" outlineLevel="2">
      <c r="A78" s="117" t="s">
        <v>611</v>
      </c>
      <c r="B78" s="292" t="s">
        <v>286</v>
      </c>
      <c r="C78" s="293" t="s">
        <v>612</v>
      </c>
      <c r="D78" s="282"/>
      <c r="E78" s="268">
        <v>3</v>
      </c>
      <c r="F78" s="283"/>
      <c r="G78" s="283"/>
      <c r="H78" s="283"/>
      <c r="I78" s="283"/>
      <c r="J78" s="284"/>
      <c r="K78" s="283"/>
      <c r="L78" s="283"/>
      <c r="M78" s="283"/>
      <c r="N78" s="107"/>
      <c r="O78" s="107"/>
      <c r="P78" s="107"/>
      <c r="Q78" s="107"/>
      <c r="R78" s="107"/>
      <c r="S78" s="107"/>
      <c r="T78" s="107"/>
      <c r="U78" s="243"/>
      <c r="V78" s="285"/>
      <c r="W78" s="285"/>
      <c r="X78" s="286">
        <f>LOOKUP(1,0/(项目收支汇总表!A5:A306="2.12.4"),项目收支汇总表!C5:C306)</f>
        <v>0</v>
      </c>
      <c r="Y78" s="287"/>
      <c r="Z78" s="244">
        <v>0</v>
      </c>
      <c r="AA78" s="244"/>
      <c r="AB78" s="285"/>
      <c r="AC78" s="285"/>
      <c r="AD78" s="285"/>
      <c r="AE78" s="288"/>
      <c r="AF78" s="288"/>
      <c r="AG78" s="285"/>
      <c r="AH78" s="287"/>
      <c r="AI78" s="285"/>
      <c r="AJ78" s="287"/>
      <c r="AK78" s="285"/>
      <c r="AL78" s="285"/>
      <c r="AM78" s="289"/>
      <c r="AN78" s="290"/>
      <c r="AO78" s="289"/>
      <c r="AP78" s="291"/>
      <c r="AQ78" s="45"/>
    </row>
    <row r="79" spans="1:43" s="25" customFormat="1" ht="20.25" customHeight="1" outlineLevel="2">
      <c r="A79" s="117" t="s">
        <v>613</v>
      </c>
      <c r="B79" s="292" t="s">
        <v>287</v>
      </c>
      <c r="C79" s="293" t="s">
        <v>614</v>
      </c>
      <c r="D79" s="282"/>
      <c r="E79" s="268">
        <v>3</v>
      </c>
      <c r="F79" s="283"/>
      <c r="G79" s="283"/>
      <c r="H79" s="283"/>
      <c r="I79" s="283"/>
      <c r="J79" s="284"/>
      <c r="K79" s="283"/>
      <c r="L79" s="283"/>
      <c r="M79" s="283"/>
      <c r="N79" s="107"/>
      <c r="O79" s="107"/>
      <c r="P79" s="107"/>
      <c r="Q79" s="107"/>
      <c r="R79" s="107"/>
      <c r="S79" s="107"/>
      <c r="T79" s="107"/>
      <c r="U79" s="243"/>
      <c r="V79" s="285"/>
      <c r="W79" s="285"/>
      <c r="X79" s="286">
        <f>LOOKUP(1,0/(项目收支汇总表!A5:A306="2.13.2"),项目收支汇总表!C5:C306)</f>
        <v>0</v>
      </c>
      <c r="Y79" s="287"/>
      <c r="Z79" s="244">
        <v>0</v>
      </c>
      <c r="AA79" s="244"/>
      <c r="AB79" s="285"/>
      <c r="AC79" s="285"/>
      <c r="AD79" s="285"/>
      <c r="AE79" s="288"/>
      <c r="AF79" s="288"/>
      <c r="AG79" s="285"/>
      <c r="AH79" s="287"/>
      <c r="AI79" s="285"/>
      <c r="AJ79" s="287"/>
      <c r="AK79" s="285"/>
      <c r="AL79" s="285"/>
      <c r="AM79" s="289"/>
      <c r="AN79" s="290"/>
      <c r="AO79" s="289"/>
      <c r="AP79" s="291"/>
      <c r="AQ79" s="45"/>
    </row>
    <row r="80" spans="1:43" s="24" customFormat="1" ht="20.25" customHeight="1" outlineLevel="1">
      <c r="A80" s="226">
        <v>9.3000000000000007</v>
      </c>
      <c r="B80" s="227" t="s">
        <v>223</v>
      </c>
      <c r="C80" s="228" t="s">
        <v>615</v>
      </c>
      <c r="D80" s="229"/>
      <c r="E80" s="147">
        <v>2</v>
      </c>
      <c r="F80" s="230"/>
      <c r="G80" s="230"/>
      <c r="H80" s="230"/>
      <c r="I80" s="230"/>
      <c r="J80" s="110"/>
      <c r="K80" s="230"/>
      <c r="L80" s="230"/>
      <c r="M80" s="230"/>
      <c r="N80" s="232"/>
      <c r="O80" s="232"/>
      <c r="P80" s="232"/>
      <c r="Q80" s="232"/>
      <c r="R80" s="232"/>
      <c r="S80" s="232"/>
      <c r="T80" s="232"/>
      <c r="U80" s="151"/>
      <c r="V80" s="294"/>
      <c r="W80" s="294"/>
      <c r="X80" s="233">
        <f>LOOKUP(1,0/(项目收支汇总表!A5:A306="4.3.11"),项目收支汇总表!C5:C306)+LOOKUP(1,0/(项目收支汇总表!A5:A306="4.3.12"),项目收支汇总表!C5:C306)</f>
        <v>0</v>
      </c>
      <c r="Y80" s="151"/>
      <c r="Z80" s="233"/>
      <c r="AA80" s="233"/>
      <c r="AB80" s="233"/>
      <c r="AC80" s="233"/>
      <c r="AD80" s="233"/>
      <c r="AE80" s="234"/>
      <c r="AF80" s="234"/>
      <c r="AG80" s="233"/>
      <c r="AH80" s="151"/>
      <c r="AI80" s="233"/>
      <c r="AJ80" s="151"/>
      <c r="AK80" s="233"/>
      <c r="AL80" s="233"/>
      <c r="AM80" s="235"/>
      <c r="AN80" s="264"/>
      <c r="AO80" s="235"/>
      <c r="AP80" s="236"/>
      <c r="AQ80" s="39"/>
    </row>
    <row r="81" spans="1:43" s="24" customFormat="1" ht="20.25" customHeight="1">
      <c r="A81" s="30" t="s">
        <v>616</v>
      </c>
      <c r="B81" s="31" t="s">
        <v>617</v>
      </c>
      <c r="C81" s="86" t="s">
        <v>618</v>
      </c>
      <c r="D81" s="32"/>
      <c r="E81" s="33">
        <v>1</v>
      </c>
      <c r="F81" s="34"/>
      <c r="G81" s="34"/>
      <c r="H81" s="34"/>
      <c r="I81" s="34"/>
      <c r="J81" s="35"/>
      <c r="K81" s="34"/>
      <c r="L81" s="34"/>
      <c r="M81" s="34"/>
      <c r="N81" s="295">
        <f>N69+N70</f>
        <v>0</v>
      </c>
      <c r="O81" s="295">
        <f>O69+O70</f>
        <v>0</v>
      </c>
      <c r="P81" s="295">
        <f>N81+O81</f>
        <v>0</v>
      </c>
      <c r="Q81" s="295">
        <f>Q69+Q70</f>
        <v>0</v>
      </c>
      <c r="R81" s="295">
        <f>R69+R70</f>
        <v>0</v>
      </c>
      <c r="S81" s="295">
        <f>S69+S70</f>
        <v>0</v>
      </c>
      <c r="T81" s="295">
        <f>R81+S81</f>
        <v>0</v>
      </c>
      <c r="U81" s="43" t="e">
        <f>N81/P81</f>
        <v>#DIV/0!</v>
      </c>
      <c r="V81" s="295">
        <f>V69+V70</f>
        <v>0</v>
      </c>
      <c r="W81" s="295">
        <f>W69+W70</f>
        <v>0</v>
      </c>
      <c r="X81" s="296">
        <f>X69+X70</f>
        <v>0</v>
      </c>
      <c r="Y81" s="43" t="e">
        <f>X81/N81</f>
        <v>#DIV/0!</v>
      </c>
      <c r="Z81" s="296">
        <f>Z69+Z70</f>
        <v>0</v>
      </c>
      <c r="AA81" s="296">
        <f>AA69+AA70</f>
        <v>0</v>
      </c>
      <c r="AB81" s="296">
        <f>AB69+AB70</f>
        <v>0</v>
      </c>
      <c r="AC81" s="296"/>
      <c r="AD81" s="296"/>
      <c r="AE81" s="44"/>
      <c r="AF81" s="44"/>
      <c r="AG81" s="296">
        <f>AG69+AG70</f>
        <v>0</v>
      </c>
      <c r="AH81" s="43" t="e">
        <f>(X81+AG81)/N81</f>
        <v>#DIV/0!</v>
      </c>
      <c r="AI81" s="296">
        <f>AI69+AI70</f>
        <v>0</v>
      </c>
      <c r="AJ81" s="43" t="e">
        <f>AJ69+AJ70</f>
        <v>#DIV/0!</v>
      </c>
      <c r="AK81" s="296">
        <f>AK69+AK70</f>
        <v>0</v>
      </c>
      <c r="AL81" s="296">
        <f>AL69+AL70</f>
        <v>0</v>
      </c>
      <c r="AM81" s="297"/>
      <c r="AN81" s="298"/>
      <c r="AO81" s="297"/>
      <c r="AP81" s="38"/>
      <c r="AQ81" s="38"/>
    </row>
  </sheetData>
  <mergeCells count="21">
    <mergeCell ref="AP3:AP4"/>
    <mergeCell ref="N3:Q3"/>
    <mergeCell ref="V3:W3"/>
    <mergeCell ref="Z3:AA3"/>
    <mergeCell ref="AM3:AO3"/>
    <mergeCell ref="A1:AQ1"/>
    <mergeCell ref="F3:M3"/>
    <mergeCell ref="R3:T3"/>
    <mergeCell ref="X3:Y3"/>
    <mergeCell ref="AB3:AD3"/>
    <mergeCell ref="AE3:AJ3"/>
    <mergeCell ref="AK3:AL3"/>
    <mergeCell ref="A3:A4"/>
    <mergeCell ref="B3:B4"/>
    <mergeCell ref="C3:C4"/>
    <mergeCell ref="D3:D4"/>
    <mergeCell ref="E3:E4"/>
    <mergeCell ref="U3:U4"/>
    <mergeCell ref="AQ3:AQ4"/>
    <mergeCell ref="B2:G2"/>
    <mergeCell ref="L2:M2"/>
  </mergeCells>
  <phoneticPr fontId="61" type="noConversion"/>
  <dataValidations count="4">
    <dataValidation allowBlank="1" showInputMessage="1" showErrorMessage="1" sqref="B34:C52 AO12:AO13 AO15:AO16 AO18:AO19 AO21:AO22 AO24:AO25 AO27:AO29 AO9:AO10 AM12:AM13 AM15:AM16 AM18:AM19 AM21:AM22 AM24:AM25 AM27:AM29 AM9:AM10 M7:M29" xr:uid="{00000000-0002-0000-0900-000000000000}"/>
    <dataValidation type="list" allowBlank="1" showInputMessage="1" showErrorMessage="1" sqref="AF9 AF10 AF11 AF12 AF13 AF14 AF15 AF16 AF17 AF18 AF19 AF20 AF21 AF22 AF23 AF24 AF25 AF26 AF27:AF28 AF29 AF69 AF70 AF71 AF76 AF80 AF7:AF8 AF31:AF56 AF58:AF60 AF62:AF65 AF66:AF68 AF72:AF75 AF77:AF79" xr:uid="{00000000-0002-0000-0900-000001000000}">
      <formula1>"预付款,进度款,结算款,质保金
"</formula1>
    </dataValidation>
    <dataValidation type="list" allowBlank="1" showInputMessage="1" showErrorMessage="1" sqref="AE9 AE10 AE11 AE12 AE13 AE14 AE15 AE16 AE17 AE18 AE19 AE20 AE21 AE22 AE23 AE24 AE25 AE26 AE27:AE28 AE29 AE69 AE70 AE71 AE76 AE80 AE7:AE8 AE31:AE56 AE58:AE60 AE62:AE65 AE66:AE68 AE72:AE75 AE77:AE79" xr:uid="{00000000-0002-0000-0900-000002000000}">
      <formula1>"现金,票据,资产处置
"</formula1>
    </dataValidation>
    <dataValidation type="decimal" allowBlank="1" showInputMessage="1" showErrorMessage="1" sqref="N9:O10 N12:O13 N15:O16 N18:O19 N21:O22 N24:O25 Q24:S25 Q21:S22 Q18:S19 Q15:S16 Q12:S13 Q9:S10 X9:X10 X12:X13 X15:X16 X18:X19 X21:X22 X24:X25 Q32:S33 Q35:S52 N72:W75 N77:W79 AB72:AD75 AB77:AD79 AG72:AO75 AG77:AO79 O32:O33 O35:O52 AG32:AG33 AI32:AI33 AK32:AO33 AG35:AG52 AI35:AI52 AK35:AO52 AG9:AG10 AI9:AI10 AK9:AL10 AN9:AN10 AG12:AG13 AI12:AI13 AK12:AL13 AN12:AN13 AG15:AG16 AI15:AI16 AK15:AL16 AN15:AN16 AG18:AG19 AI18:AI19 AK18:AL19 AN18:AN19 AG21:AG22 AI21:AI22 AK21:AL22 AN21:AN22 AK24:AL25 AN24:AN25 AI24:AI25 AG24:AG25" xr:uid="{00000000-0002-0000-0900-000004000000}">
      <formula1>-100000000000</formula1>
      <formula2>100000000000</formula2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8CB2-136D-63AE-FE67-55373CC5A0CD}">
  <dimension ref="A1:L196"/>
  <sheetViews>
    <sheetView showGridLines="0" workbookViewId="0">
      <selection activeCell="K5" sqref="K5"/>
    </sheetView>
  </sheetViews>
  <sheetFormatPr defaultColWidth="9" defaultRowHeight="14" customHeight="1"/>
  <cols>
    <col min="1" max="1" width="8.29296875" style="18" customWidth="1"/>
    <col min="2" max="2" width="10.1171875" style="18" customWidth="1"/>
    <col min="3" max="3" width="11.41015625" customWidth="1"/>
    <col min="4" max="4" width="10.1171875" customWidth="1"/>
    <col min="5" max="5" width="13.41015625" customWidth="1"/>
    <col min="6" max="6" width="11.234375" customWidth="1"/>
    <col min="7" max="7" width="9.1171875" customWidth="1"/>
    <col min="8" max="8" width="8.1171875" customWidth="1"/>
    <col min="9" max="9" width="12.234375" customWidth="1"/>
    <col min="10" max="10" width="17.29296875" customWidth="1"/>
    <col min="11" max="11" width="17.41015625" customWidth="1"/>
    <col min="12" max="12" width="13.29296875" customWidth="1"/>
  </cols>
  <sheetData>
    <row r="1" spans="1:12" ht="51.75" customHeight="1">
      <c r="A1" s="359" t="s">
        <v>619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60"/>
    </row>
    <row r="2" spans="1:12" ht="24" customHeight="1">
      <c r="A2" s="205" t="s">
        <v>35</v>
      </c>
      <c r="B2" s="350"/>
      <c r="C2" s="350"/>
      <c r="D2" s="350"/>
      <c r="E2" s="350"/>
      <c r="F2" s="350"/>
      <c r="G2" s="350"/>
      <c r="H2" s="350"/>
      <c r="I2" s="205" t="s">
        <v>36</v>
      </c>
      <c r="J2" s="205"/>
      <c r="K2" s="205"/>
      <c r="L2" s="207" t="s">
        <v>388</v>
      </c>
    </row>
    <row r="3" spans="1:12" s="17" customFormat="1" ht="33" customHeight="1">
      <c r="A3" s="118" t="s">
        <v>160</v>
      </c>
      <c r="B3" s="36" t="s">
        <v>417</v>
      </c>
      <c r="C3" s="118" t="s">
        <v>189</v>
      </c>
      <c r="D3" s="118" t="s">
        <v>418</v>
      </c>
      <c r="E3" s="36" t="s">
        <v>419</v>
      </c>
      <c r="F3" s="36" t="s">
        <v>420</v>
      </c>
      <c r="G3" s="36" t="s">
        <v>421</v>
      </c>
      <c r="H3" s="36" t="s">
        <v>422</v>
      </c>
      <c r="I3" s="118" t="s">
        <v>423</v>
      </c>
      <c r="J3" s="118" t="s">
        <v>620</v>
      </c>
      <c r="K3" s="118" t="s">
        <v>621</v>
      </c>
      <c r="L3" s="19" t="s">
        <v>108</v>
      </c>
    </row>
    <row r="4" spans="1:12" s="17" customFormat="1" ht="33" hidden="1" customHeight="1">
      <c r="A4" s="118"/>
      <c r="B4" s="36"/>
      <c r="C4" s="118"/>
      <c r="D4" s="118"/>
      <c r="E4" s="36"/>
      <c r="F4" s="36"/>
      <c r="G4" s="36"/>
      <c r="H4" s="36"/>
      <c r="I4" s="118"/>
      <c r="J4" s="118"/>
      <c r="K4" s="118"/>
      <c r="L4" s="19"/>
    </row>
    <row r="5" spans="1:12" s="17" customFormat="1" ht="24" customHeight="1">
      <c r="A5" s="119"/>
      <c r="B5" s="111"/>
      <c r="C5" s="299"/>
      <c r="D5" s="299"/>
      <c r="E5" s="299"/>
      <c r="F5" s="300"/>
      <c r="G5" s="301"/>
      <c r="H5" s="301"/>
      <c r="I5" s="200"/>
      <c r="J5" s="300"/>
      <c r="K5" s="302"/>
      <c r="L5" s="302"/>
    </row>
    <row r="6" spans="1:12" ht="24.75" customHeight="1">
      <c r="A6" s="303"/>
      <c r="B6" s="304"/>
      <c r="C6" s="305"/>
      <c r="D6" s="305"/>
      <c r="E6" s="305"/>
      <c r="F6" s="306"/>
      <c r="G6" s="307"/>
      <c r="H6" s="307"/>
      <c r="I6" s="308"/>
      <c r="J6" s="306"/>
      <c r="K6" s="305"/>
      <c r="L6" s="305"/>
    </row>
    <row r="7" spans="1:12" ht="24.75" customHeight="1">
      <c r="A7" s="303"/>
      <c r="B7" s="304"/>
      <c r="C7" s="305"/>
      <c r="D7" s="305"/>
      <c r="E7" s="305"/>
      <c r="F7" s="306"/>
      <c r="G7" s="307"/>
      <c r="H7" s="307"/>
      <c r="I7" s="308"/>
      <c r="J7" s="306"/>
      <c r="K7" s="305"/>
      <c r="L7" s="305"/>
    </row>
    <row r="8" spans="1:12" ht="24.75" customHeight="1">
      <c r="A8" s="303"/>
      <c r="B8" s="304"/>
      <c r="C8" s="305"/>
      <c r="D8" s="305"/>
      <c r="E8" s="305"/>
      <c r="F8" s="306"/>
      <c r="G8" s="307"/>
      <c r="H8" s="307"/>
      <c r="I8" s="308"/>
      <c r="J8" s="306"/>
      <c r="K8" s="305"/>
      <c r="L8" s="305"/>
    </row>
    <row r="9" spans="1:12" ht="24.75" customHeight="1">
      <c r="A9" s="303"/>
      <c r="B9" s="304"/>
      <c r="C9" s="305"/>
      <c r="D9" s="305"/>
      <c r="E9" s="305"/>
      <c r="F9" s="306"/>
      <c r="G9" s="307"/>
      <c r="H9" s="307"/>
      <c r="I9" s="308"/>
      <c r="J9" s="306"/>
      <c r="K9" s="305"/>
      <c r="L9" s="305"/>
    </row>
    <row r="10" spans="1:12" ht="24.75" customHeight="1">
      <c r="A10" s="303"/>
      <c r="B10" s="304"/>
      <c r="C10" s="305"/>
      <c r="D10" s="305"/>
      <c r="E10" s="305"/>
      <c r="F10" s="306"/>
      <c r="G10" s="307"/>
      <c r="H10" s="307"/>
      <c r="I10" s="308"/>
      <c r="J10" s="306"/>
      <c r="K10" s="305"/>
      <c r="L10" s="305"/>
    </row>
    <row r="11" spans="1:12" ht="24.75" customHeight="1">
      <c r="A11" s="303"/>
      <c r="B11" s="304"/>
      <c r="C11" s="305"/>
      <c r="D11" s="305"/>
      <c r="E11" s="305"/>
      <c r="F11" s="306"/>
      <c r="G11" s="307"/>
      <c r="H11" s="307"/>
      <c r="I11" s="308"/>
      <c r="J11" s="306"/>
      <c r="K11" s="305"/>
      <c r="L11" s="305"/>
    </row>
    <row r="12" spans="1:12" ht="24.75" customHeight="1">
      <c r="A12" s="303"/>
      <c r="B12" s="304"/>
      <c r="C12" s="305"/>
      <c r="D12" s="305"/>
      <c r="E12" s="305"/>
      <c r="F12" s="306"/>
      <c r="G12" s="307"/>
      <c r="H12" s="307"/>
      <c r="I12" s="308"/>
      <c r="J12" s="306"/>
      <c r="K12" s="305"/>
      <c r="L12" s="305"/>
    </row>
    <row r="13" spans="1:12" ht="24.75" customHeight="1">
      <c r="A13" s="303"/>
      <c r="B13" s="304"/>
      <c r="C13" s="305"/>
      <c r="D13" s="305"/>
      <c r="E13" s="305"/>
      <c r="F13" s="306"/>
      <c r="G13" s="307"/>
      <c r="H13" s="307"/>
      <c r="I13" s="308"/>
      <c r="J13" s="306"/>
      <c r="K13" s="305"/>
      <c r="L13" s="305"/>
    </row>
    <row r="14" spans="1:12" ht="24.75" customHeight="1">
      <c r="A14" s="303"/>
      <c r="B14" s="304"/>
      <c r="C14" s="305"/>
      <c r="D14" s="305"/>
      <c r="E14" s="305"/>
      <c r="F14" s="306"/>
      <c r="G14" s="307"/>
      <c r="H14" s="307"/>
      <c r="I14" s="308"/>
      <c r="J14" s="306"/>
      <c r="K14" s="305"/>
      <c r="L14" s="305"/>
    </row>
    <row r="15" spans="1:12" ht="24.75" customHeight="1">
      <c r="A15" s="303"/>
      <c r="B15" s="304"/>
      <c r="C15" s="305"/>
      <c r="D15" s="305"/>
      <c r="E15" s="305"/>
      <c r="F15" s="306"/>
      <c r="G15" s="307"/>
      <c r="H15" s="307"/>
      <c r="I15" s="308"/>
      <c r="J15" s="306"/>
      <c r="K15" s="305"/>
      <c r="L15" s="305"/>
    </row>
    <row r="16" spans="1:12" ht="24.75" customHeight="1">
      <c r="A16" s="303"/>
      <c r="B16" s="304"/>
      <c r="C16" s="305"/>
      <c r="D16" s="305"/>
      <c r="E16" s="305"/>
      <c r="F16" s="306"/>
      <c r="G16" s="307"/>
      <c r="H16" s="307"/>
      <c r="I16" s="308"/>
      <c r="J16" s="306"/>
      <c r="K16" s="305"/>
      <c r="L16" s="305"/>
    </row>
    <row r="17" spans="1:12" ht="24.75" customHeight="1">
      <c r="A17" s="303"/>
      <c r="B17" s="304"/>
      <c r="C17" s="305"/>
      <c r="D17" s="305"/>
      <c r="E17" s="305"/>
      <c r="F17" s="306"/>
      <c r="G17" s="307"/>
      <c r="H17" s="307"/>
      <c r="I17" s="308"/>
      <c r="J17" s="306"/>
      <c r="K17" s="305"/>
      <c r="L17" s="305"/>
    </row>
    <row r="18" spans="1:12" ht="24.75" customHeight="1">
      <c r="A18" s="303"/>
      <c r="B18" s="304"/>
      <c r="C18" s="305"/>
      <c r="D18" s="305"/>
      <c r="E18" s="305"/>
      <c r="F18" s="306"/>
      <c r="G18" s="307"/>
      <c r="H18" s="307"/>
      <c r="I18" s="308"/>
      <c r="J18" s="306"/>
      <c r="K18" s="305"/>
      <c r="L18" s="305"/>
    </row>
    <row r="19" spans="1:12" ht="24.75" customHeight="1">
      <c r="A19" s="303"/>
      <c r="B19" s="304"/>
      <c r="C19" s="305"/>
      <c r="D19" s="305"/>
      <c r="E19" s="305"/>
      <c r="F19" s="306"/>
      <c r="G19" s="307"/>
      <c r="H19" s="307"/>
      <c r="I19" s="308"/>
      <c r="J19" s="306"/>
      <c r="K19" s="305"/>
      <c r="L19" s="305"/>
    </row>
    <row r="20" spans="1:12" ht="24.75" customHeight="1">
      <c r="A20" s="303"/>
      <c r="B20" s="304"/>
      <c r="C20" s="305"/>
      <c r="D20" s="305"/>
      <c r="E20" s="305"/>
      <c r="F20" s="306"/>
      <c r="G20" s="307"/>
      <c r="H20" s="307"/>
      <c r="I20" s="308"/>
      <c r="J20" s="306"/>
      <c r="K20" s="305"/>
      <c r="L20" s="305"/>
    </row>
    <row r="21" spans="1:12" ht="24.75" customHeight="1">
      <c r="A21" s="303"/>
      <c r="B21" s="304"/>
      <c r="C21" s="305"/>
      <c r="D21" s="305"/>
      <c r="E21" s="305"/>
      <c r="F21" s="306"/>
      <c r="G21" s="307"/>
      <c r="H21" s="307"/>
      <c r="I21" s="308"/>
      <c r="J21" s="306"/>
      <c r="K21" s="305"/>
      <c r="L21" s="305"/>
    </row>
    <row r="22" spans="1:12" ht="24.75" customHeight="1">
      <c r="A22" s="303"/>
      <c r="B22" s="304"/>
      <c r="C22" s="305"/>
      <c r="D22" s="305"/>
      <c r="E22" s="305"/>
      <c r="F22" s="306"/>
      <c r="G22" s="307"/>
      <c r="H22" s="307"/>
      <c r="I22" s="308"/>
      <c r="J22" s="306"/>
      <c r="K22" s="305"/>
      <c r="L22" s="305"/>
    </row>
    <row r="23" spans="1:12" ht="24.75" customHeight="1">
      <c r="A23" s="303"/>
      <c r="B23" s="304"/>
      <c r="C23" s="305"/>
      <c r="D23" s="305"/>
      <c r="E23" s="305"/>
      <c r="F23" s="306"/>
      <c r="G23" s="307"/>
      <c r="H23" s="307"/>
      <c r="I23" s="308"/>
      <c r="J23" s="306"/>
      <c r="K23" s="305"/>
      <c r="L23" s="305"/>
    </row>
    <row r="24" spans="1:12" ht="24.75" customHeight="1">
      <c r="A24" s="303"/>
      <c r="B24" s="304"/>
      <c r="C24" s="305"/>
      <c r="D24" s="305"/>
      <c r="E24" s="305"/>
      <c r="F24" s="306"/>
      <c r="G24" s="307"/>
      <c r="H24" s="307"/>
      <c r="I24" s="308"/>
      <c r="J24" s="306"/>
      <c r="K24" s="305"/>
      <c r="L24" s="305"/>
    </row>
    <row r="25" spans="1:12" ht="24.75" customHeight="1">
      <c r="A25" s="303"/>
      <c r="B25" s="304"/>
      <c r="C25" s="305"/>
      <c r="D25" s="305"/>
      <c r="E25" s="305"/>
      <c r="F25" s="306"/>
      <c r="G25" s="307"/>
      <c r="H25" s="307"/>
      <c r="I25" s="308"/>
      <c r="J25" s="306"/>
      <c r="K25" s="305"/>
      <c r="L25" s="305"/>
    </row>
    <row r="26" spans="1:12" ht="24.75" customHeight="1">
      <c r="A26" s="303"/>
      <c r="B26" s="304"/>
      <c r="C26" s="305"/>
      <c r="D26" s="305"/>
      <c r="E26" s="305"/>
      <c r="F26" s="306"/>
      <c r="G26" s="307"/>
      <c r="H26" s="307"/>
      <c r="I26" s="308"/>
      <c r="J26" s="306"/>
      <c r="K26" s="305"/>
      <c r="L26" s="305"/>
    </row>
    <row r="27" spans="1:12" ht="24.75" customHeight="1">
      <c r="A27" s="303"/>
      <c r="B27" s="304"/>
      <c r="C27" s="305"/>
      <c r="D27" s="305"/>
      <c r="E27" s="305"/>
      <c r="F27" s="306"/>
      <c r="G27" s="307"/>
      <c r="H27" s="307"/>
      <c r="I27" s="308"/>
      <c r="J27" s="306"/>
      <c r="K27" s="305"/>
      <c r="L27" s="305"/>
    </row>
    <row r="28" spans="1:12" ht="24.75" customHeight="1">
      <c r="A28" s="303"/>
      <c r="B28" s="304"/>
      <c r="C28" s="305"/>
      <c r="D28" s="305"/>
      <c r="E28" s="305"/>
      <c r="F28" s="306"/>
      <c r="G28" s="307"/>
      <c r="H28" s="307"/>
      <c r="I28" s="308"/>
      <c r="J28" s="306"/>
      <c r="K28" s="305"/>
      <c r="L28" s="305"/>
    </row>
    <row r="29" spans="1:12" ht="24.75" customHeight="1">
      <c r="A29" s="303"/>
      <c r="B29" s="304"/>
      <c r="C29" s="305"/>
      <c r="D29" s="305"/>
      <c r="E29" s="305"/>
      <c r="F29" s="306"/>
      <c r="G29" s="307"/>
      <c r="H29" s="307"/>
      <c r="I29" s="308"/>
      <c r="J29" s="306"/>
      <c r="K29" s="305"/>
      <c r="L29" s="305"/>
    </row>
    <row r="30" spans="1:12" ht="24.75" customHeight="1">
      <c r="A30" s="303"/>
      <c r="B30" s="304"/>
      <c r="C30" s="305"/>
      <c r="D30" s="305"/>
      <c r="E30" s="305"/>
      <c r="F30" s="306"/>
      <c r="G30" s="307"/>
      <c r="H30" s="307"/>
      <c r="I30" s="308"/>
      <c r="J30" s="306"/>
      <c r="K30" s="305"/>
      <c r="L30" s="305"/>
    </row>
    <row r="31" spans="1:12" ht="24.75" customHeight="1">
      <c r="A31" s="303"/>
      <c r="B31" s="304"/>
      <c r="C31" s="305"/>
      <c r="D31" s="305"/>
      <c r="E31" s="305"/>
      <c r="F31" s="306"/>
      <c r="G31" s="307"/>
      <c r="H31" s="307"/>
      <c r="I31" s="308"/>
      <c r="J31" s="306"/>
      <c r="K31" s="305"/>
      <c r="L31" s="305"/>
    </row>
    <row r="32" spans="1:12" ht="24.75" customHeight="1">
      <c r="A32" s="303"/>
      <c r="B32" s="304"/>
      <c r="C32" s="305"/>
      <c r="D32" s="305"/>
      <c r="E32" s="305"/>
      <c r="F32" s="306"/>
      <c r="G32" s="307"/>
      <c r="H32" s="307"/>
      <c r="I32" s="308"/>
      <c r="J32" s="306"/>
      <c r="K32" s="305"/>
      <c r="L32" s="305"/>
    </row>
    <row r="33" spans="1:12" ht="24.75" customHeight="1">
      <c r="A33" s="303"/>
      <c r="B33" s="304"/>
      <c r="C33" s="305"/>
      <c r="D33" s="305"/>
      <c r="E33" s="305"/>
      <c r="F33" s="306"/>
      <c r="G33" s="307"/>
      <c r="H33" s="307"/>
      <c r="I33" s="308"/>
      <c r="J33" s="306"/>
      <c r="K33" s="305"/>
      <c r="L33" s="305"/>
    </row>
    <row r="34" spans="1:12" ht="24.75" customHeight="1">
      <c r="A34" s="303"/>
      <c r="B34" s="304"/>
      <c r="C34" s="305"/>
      <c r="D34" s="305"/>
      <c r="E34" s="305"/>
      <c r="F34" s="306"/>
      <c r="G34" s="307"/>
      <c r="H34" s="307"/>
      <c r="I34" s="308"/>
      <c r="J34" s="306"/>
      <c r="K34" s="305"/>
      <c r="L34" s="305"/>
    </row>
    <row r="35" spans="1:12" ht="24.75" customHeight="1">
      <c r="A35" s="303"/>
      <c r="B35" s="304"/>
      <c r="C35" s="305"/>
      <c r="D35" s="305"/>
      <c r="E35" s="305"/>
      <c r="F35" s="306"/>
      <c r="G35" s="307"/>
      <c r="H35" s="307"/>
      <c r="I35" s="308"/>
      <c r="J35" s="306"/>
      <c r="K35" s="305"/>
      <c r="L35" s="305"/>
    </row>
    <row r="36" spans="1:12" ht="24.75" customHeight="1">
      <c r="A36" s="303"/>
      <c r="B36" s="304"/>
      <c r="C36" s="305"/>
      <c r="D36" s="305"/>
      <c r="E36" s="305"/>
      <c r="F36" s="306"/>
      <c r="G36" s="307"/>
      <c r="H36" s="307"/>
      <c r="I36" s="308"/>
      <c r="J36" s="306"/>
      <c r="K36" s="305"/>
      <c r="L36" s="305"/>
    </row>
    <row r="37" spans="1:12" ht="24.75" customHeight="1">
      <c r="A37" s="303"/>
      <c r="B37" s="304"/>
      <c r="C37" s="305"/>
      <c r="D37" s="305"/>
      <c r="E37" s="305"/>
      <c r="F37" s="306"/>
      <c r="G37" s="307"/>
      <c r="H37" s="307"/>
      <c r="I37" s="308"/>
      <c r="J37" s="306"/>
      <c r="K37" s="305"/>
      <c r="L37" s="305"/>
    </row>
    <row r="38" spans="1:12" ht="24.75" customHeight="1">
      <c r="A38" s="303"/>
      <c r="B38" s="304"/>
      <c r="C38" s="305"/>
      <c r="D38" s="305"/>
      <c r="E38" s="305"/>
      <c r="F38" s="306"/>
      <c r="G38" s="307"/>
      <c r="H38" s="307"/>
      <c r="I38" s="308"/>
      <c r="J38" s="306"/>
      <c r="K38" s="305"/>
      <c r="L38" s="305"/>
    </row>
    <row r="39" spans="1:12" ht="24.75" customHeight="1">
      <c r="A39" s="303"/>
      <c r="B39" s="304"/>
      <c r="C39" s="305"/>
      <c r="D39" s="305"/>
      <c r="E39" s="305"/>
      <c r="F39" s="306"/>
      <c r="G39" s="307"/>
      <c r="H39" s="307"/>
      <c r="I39" s="308"/>
      <c r="J39" s="306"/>
      <c r="K39" s="305"/>
      <c r="L39" s="305"/>
    </row>
    <row r="40" spans="1:12" ht="24.75" customHeight="1">
      <c r="A40" s="303"/>
      <c r="B40" s="304"/>
      <c r="C40" s="305"/>
      <c r="D40" s="305"/>
      <c r="E40" s="305"/>
      <c r="F40" s="306"/>
      <c r="G40" s="307"/>
      <c r="H40" s="307"/>
      <c r="I40" s="308"/>
      <c r="J40" s="306"/>
      <c r="K40" s="305"/>
      <c r="L40" s="305"/>
    </row>
    <row r="41" spans="1:12" ht="24.75" customHeight="1">
      <c r="A41" s="303"/>
      <c r="B41" s="304"/>
      <c r="C41" s="305"/>
      <c r="D41" s="305"/>
      <c r="E41" s="305"/>
      <c r="F41" s="306"/>
      <c r="G41" s="307"/>
      <c r="H41" s="307"/>
      <c r="I41" s="308"/>
      <c r="J41" s="306"/>
      <c r="K41" s="305"/>
      <c r="L41" s="305"/>
    </row>
    <row r="42" spans="1:12" ht="24.75" customHeight="1">
      <c r="A42" s="303"/>
      <c r="B42" s="304"/>
      <c r="C42" s="305"/>
      <c r="D42" s="305"/>
      <c r="E42" s="305"/>
      <c r="F42" s="306"/>
      <c r="G42" s="307"/>
      <c r="H42" s="307"/>
      <c r="I42" s="308"/>
      <c r="J42" s="306"/>
      <c r="K42" s="305"/>
      <c r="L42" s="305"/>
    </row>
    <row r="43" spans="1:12" ht="24.75" customHeight="1">
      <c r="A43" s="303"/>
      <c r="B43" s="304"/>
      <c r="C43" s="305"/>
      <c r="D43" s="305"/>
      <c r="E43" s="305"/>
      <c r="F43" s="306"/>
      <c r="G43" s="307"/>
      <c r="H43" s="307"/>
      <c r="I43" s="308"/>
      <c r="J43" s="306"/>
      <c r="K43" s="305"/>
      <c r="L43" s="305"/>
    </row>
    <row r="44" spans="1:12" ht="24.75" customHeight="1">
      <c r="A44" s="303"/>
      <c r="B44" s="304"/>
      <c r="C44" s="305"/>
      <c r="D44" s="305"/>
      <c r="E44" s="305"/>
      <c r="F44" s="306"/>
      <c r="G44" s="307"/>
      <c r="H44" s="307"/>
      <c r="I44" s="308"/>
      <c r="J44" s="306"/>
      <c r="K44" s="305"/>
      <c r="L44" s="305"/>
    </row>
    <row r="45" spans="1:12" ht="24.75" customHeight="1">
      <c r="A45" s="303"/>
      <c r="B45" s="304"/>
      <c r="C45" s="305"/>
      <c r="D45" s="305"/>
      <c r="E45" s="305"/>
      <c r="F45" s="306"/>
      <c r="G45" s="307"/>
      <c r="H45" s="307"/>
      <c r="I45" s="308"/>
      <c r="J45" s="306"/>
      <c r="K45" s="305"/>
      <c r="L45" s="305"/>
    </row>
    <row r="46" spans="1:12" ht="24.75" customHeight="1">
      <c r="A46" s="303"/>
      <c r="B46" s="304"/>
      <c r="C46" s="305"/>
      <c r="D46" s="305"/>
      <c r="E46" s="305"/>
      <c r="F46" s="306"/>
      <c r="G46" s="307"/>
      <c r="H46" s="307"/>
      <c r="I46" s="308"/>
      <c r="J46" s="306"/>
      <c r="K46" s="305"/>
      <c r="L46" s="305"/>
    </row>
    <row r="47" spans="1:12" ht="24.75" customHeight="1">
      <c r="A47" s="303"/>
      <c r="B47" s="304"/>
      <c r="C47" s="305"/>
      <c r="D47" s="305"/>
      <c r="E47" s="305"/>
      <c r="F47" s="306"/>
      <c r="G47" s="307"/>
      <c r="H47" s="307"/>
      <c r="I47" s="308"/>
      <c r="J47" s="306"/>
      <c r="K47" s="305"/>
      <c r="L47" s="305"/>
    </row>
    <row r="48" spans="1:12" ht="24.75" customHeight="1">
      <c r="A48" s="303"/>
      <c r="B48" s="304"/>
      <c r="C48" s="305"/>
      <c r="D48" s="305"/>
      <c r="E48" s="305"/>
      <c r="F48" s="306"/>
      <c r="G48" s="307"/>
      <c r="H48" s="307"/>
      <c r="I48" s="308"/>
      <c r="J48" s="306"/>
      <c r="K48" s="305"/>
      <c r="L48" s="305"/>
    </row>
    <row r="49" spans="1:12" ht="24.75" customHeight="1">
      <c r="A49" s="303"/>
      <c r="B49" s="304"/>
      <c r="C49" s="305"/>
      <c r="D49" s="305"/>
      <c r="E49" s="305"/>
      <c r="F49" s="306"/>
      <c r="G49" s="307"/>
      <c r="H49" s="307"/>
      <c r="I49" s="308"/>
      <c r="J49" s="306"/>
      <c r="K49" s="305"/>
      <c r="L49" s="305"/>
    </row>
    <row r="50" spans="1:12" ht="24.75" customHeight="1">
      <c r="A50" s="303"/>
      <c r="B50" s="304"/>
      <c r="C50" s="305"/>
      <c r="D50" s="305"/>
      <c r="E50" s="305"/>
      <c r="F50" s="306"/>
      <c r="G50" s="307"/>
      <c r="H50" s="307"/>
      <c r="I50" s="308"/>
      <c r="J50" s="306"/>
      <c r="K50" s="305"/>
      <c r="L50" s="305"/>
    </row>
    <row r="51" spans="1:12" ht="24.75" customHeight="1">
      <c r="A51" s="303"/>
      <c r="B51" s="304"/>
      <c r="C51" s="305"/>
      <c r="D51" s="305"/>
      <c r="E51" s="305"/>
      <c r="F51" s="306"/>
      <c r="G51" s="307"/>
      <c r="H51" s="307"/>
      <c r="I51" s="308"/>
      <c r="J51" s="306"/>
      <c r="K51" s="305"/>
      <c r="L51" s="305"/>
    </row>
    <row r="52" spans="1:12" ht="24.75" customHeight="1">
      <c r="A52" s="303"/>
      <c r="B52" s="304"/>
      <c r="C52" s="305"/>
      <c r="D52" s="305"/>
      <c r="E52" s="305"/>
      <c r="F52" s="306"/>
      <c r="G52" s="307"/>
      <c r="H52" s="307"/>
      <c r="I52" s="308"/>
      <c r="J52" s="306"/>
      <c r="K52" s="305"/>
      <c r="L52" s="305"/>
    </row>
    <row r="53" spans="1:12" ht="24.75" customHeight="1">
      <c r="A53" s="303"/>
      <c r="B53" s="304"/>
      <c r="C53" s="305"/>
      <c r="D53" s="305"/>
      <c r="E53" s="305"/>
      <c r="F53" s="306"/>
      <c r="G53" s="307"/>
      <c r="H53" s="307"/>
      <c r="I53" s="308"/>
      <c r="J53" s="306"/>
      <c r="K53" s="305"/>
      <c r="L53" s="305"/>
    </row>
    <row r="54" spans="1:12" ht="24.75" customHeight="1">
      <c r="A54" s="303"/>
      <c r="B54" s="304"/>
      <c r="C54" s="305"/>
      <c r="D54" s="305"/>
      <c r="E54" s="305"/>
      <c r="F54" s="306"/>
      <c r="G54" s="307"/>
      <c r="H54" s="307"/>
      <c r="I54" s="308"/>
      <c r="J54" s="306"/>
      <c r="K54" s="305"/>
      <c r="L54" s="305"/>
    </row>
    <row r="55" spans="1:12" ht="24.75" customHeight="1">
      <c r="A55" s="303"/>
      <c r="B55" s="304"/>
      <c r="C55" s="305"/>
      <c r="D55" s="305"/>
      <c r="E55" s="305"/>
      <c r="F55" s="306"/>
      <c r="G55" s="307"/>
      <c r="H55" s="307"/>
      <c r="I55" s="308"/>
      <c r="J55" s="306"/>
      <c r="K55" s="305"/>
      <c r="L55" s="305"/>
    </row>
    <row r="56" spans="1:12" ht="24.75" customHeight="1">
      <c r="A56" s="303"/>
      <c r="B56" s="304"/>
      <c r="C56" s="305"/>
      <c r="D56" s="305"/>
      <c r="E56" s="305"/>
      <c r="F56" s="306"/>
      <c r="G56" s="307"/>
      <c r="H56" s="307"/>
      <c r="I56" s="308"/>
      <c r="J56" s="306"/>
      <c r="K56" s="305"/>
      <c r="L56" s="305"/>
    </row>
    <row r="57" spans="1:12" ht="24.75" customHeight="1">
      <c r="A57" s="303"/>
      <c r="B57" s="304"/>
      <c r="C57" s="305"/>
      <c r="D57" s="305"/>
      <c r="E57" s="305"/>
      <c r="F57" s="306"/>
      <c r="G57" s="307"/>
      <c r="H57" s="307"/>
      <c r="I57" s="308"/>
      <c r="J57" s="306"/>
      <c r="K57" s="305"/>
      <c r="L57" s="305"/>
    </row>
    <row r="58" spans="1:12" ht="24.75" customHeight="1">
      <c r="A58" s="303"/>
      <c r="B58" s="304"/>
      <c r="C58" s="305"/>
      <c r="D58" s="305"/>
      <c r="E58" s="305"/>
      <c r="F58" s="306"/>
      <c r="G58" s="307"/>
      <c r="H58" s="307"/>
      <c r="I58" s="308"/>
      <c r="J58" s="306"/>
      <c r="K58" s="305"/>
      <c r="L58" s="305"/>
    </row>
    <row r="59" spans="1:12" ht="24.75" customHeight="1">
      <c r="A59" s="303"/>
      <c r="B59" s="304"/>
      <c r="C59" s="305"/>
      <c r="D59" s="305"/>
      <c r="E59" s="305"/>
      <c r="F59" s="306"/>
      <c r="G59" s="307"/>
      <c r="H59" s="307"/>
      <c r="I59" s="308"/>
      <c r="J59" s="306"/>
      <c r="K59" s="305"/>
      <c r="L59" s="305"/>
    </row>
    <row r="60" spans="1:12" ht="24.75" customHeight="1">
      <c r="A60" s="303"/>
      <c r="B60" s="304"/>
      <c r="C60" s="305"/>
      <c r="D60" s="305"/>
      <c r="E60" s="305"/>
      <c r="F60" s="306"/>
      <c r="G60" s="307"/>
      <c r="H60" s="307"/>
      <c r="I60" s="308"/>
      <c r="J60" s="306"/>
      <c r="K60" s="305"/>
      <c r="L60" s="305"/>
    </row>
    <row r="61" spans="1:12" ht="24.75" customHeight="1">
      <c r="A61" s="303"/>
      <c r="B61" s="304"/>
      <c r="C61" s="305"/>
      <c r="D61" s="305"/>
      <c r="E61" s="305"/>
      <c r="F61" s="306"/>
      <c r="G61" s="307"/>
      <c r="H61" s="307"/>
      <c r="I61" s="308"/>
      <c r="J61" s="306"/>
      <c r="K61" s="305"/>
      <c r="L61" s="305"/>
    </row>
    <row r="62" spans="1:12" ht="24.75" customHeight="1">
      <c r="A62" s="303"/>
      <c r="B62" s="304"/>
      <c r="C62" s="305"/>
      <c r="D62" s="305"/>
      <c r="E62" s="305"/>
      <c r="F62" s="306"/>
      <c r="G62" s="307"/>
      <c r="H62" s="307"/>
      <c r="I62" s="308"/>
      <c r="J62" s="306"/>
      <c r="K62" s="305"/>
      <c r="L62" s="305"/>
    </row>
    <row r="63" spans="1:12" ht="24.75" customHeight="1">
      <c r="A63" s="303"/>
      <c r="B63" s="304"/>
      <c r="C63" s="305"/>
      <c r="D63" s="305"/>
      <c r="E63" s="305"/>
      <c r="F63" s="306"/>
      <c r="G63" s="307"/>
      <c r="H63" s="307"/>
      <c r="I63" s="308"/>
      <c r="J63" s="306"/>
      <c r="K63" s="305"/>
      <c r="L63" s="305"/>
    </row>
    <row r="64" spans="1:12" ht="24.75" customHeight="1">
      <c r="A64" s="303"/>
      <c r="B64" s="304"/>
      <c r="C64" s="305"/>
      <c r="D64" s="305"/>
      <c r="E64" s="305"/>
      <c r="F64" s="306"/>
      <c r="G64" s="307"/>
      <c r="H64" s="307"/>
      <c r="I64" s="308"/>
      <c r="J64" s="306"/>
      <c r="K64" s="305"/>
      <c r="L64" s="305"/>
    </row>
    <row r="65" spans="1:12" ht="24.75" customHeight="1">
      <c r="A65" s="303"/>
      <c r="B65" s="304"/>
      <c r="C65" s="305"/>
      <c r="D65" s="305"/>
      <c r="E65" s="305"/>
      <c r="F65" s="306"/>
      <c r="G65" s="307"/>
      <c r="H65" s="307"/>
      <c r="I65" s="308"/>
      <c r="J65" s="306"/>
      <c r="K65" s="305"/>
      <c r="L65" s="305"/>
    </row>
    <row r="66" spans="1:12" ht="24.75" customHeight="1">
      <c r="A66" s="303"/>
      <c r="B66" s="304"/>
      <c r="C66" s="305"/>
      <c r="D66" s="305"/>
      <c r="E66" s="305"/>
      <c r="F66" s="306"/>
      <c r="G66" s="307"/>
      <c r="H66" s="307"/>
      <c r="I66" s="308"/>
      <c r="J66" s="306"/>
      <c r="K66" s="305"/>
      <c r="L66" s="305"/>
    </row>
    <row r="67" spans="1:12" ht="24.75" customHeight="1">
      <c r="A67" s="303"/>
      <c r="B67" s="304"/>
      <c r="C67" s="305"/>
      <c r="D67" s="305"/>
      <c r="E67" s="305"/>
      <c r="F67" s="306"/>
      <c r="G67" s="307"/>
      <c r="H67" s="307"/>
      <c r="I67" s="308"/>
      <c r="J67" s="306"/>
      <c r="K67" s="305"/>
      <c r="L67" s="305"/>
    </row>
    <row r="68" spans="1:12" ht="24.75" customHeight="1">
      <c r="A68" s="303"/>
      <c r="B68" s="304"/>
      <c r="C68" s="305"/>
      <c r="D68" s="305"/>
      <c r="E68" s="305"/>
      <c r="F68" s="306"/>
      <c r="G68" s="307"/>
      <c r="H68" s="307"/>
      <c r="I68" s="308"/>
      <c r="J68" s="306"/>
      <c r="K68" s="305"/>
      <c r="L68" s="305"/>
    </row>
    <row r="69" spans="1:12" ht="24.75" customHeight="1">
      <c r="A69" s="303"/>
      <c r="B69" s="304"/>
      <c r="C69" s="305"/>
      <c r="D69" s="305"/>
      <c r="E69" s="305"/>
      <c r="F69" s="306"/>
      <c r="G69" s="307"/>
      <c r="H69" s="307"/>
      <c r="I69" s="308"/>
      <c r="J69" s="306"/>
      <c r="K69" s="305"/>
      <c r="L69" s="305"/>
    </row>
    <row r="70" spans="1:12" ht="24.75" customHeight="1">
      <c r="A70" s="303"/>
      <c r="B70" s="304"/>
      <c r="C70" s="305"/>
      <c r="D70" s="305"/>
      <c r="E70" s="305"/>
      <c r="F70" s="306"/>
      <c r="G70" s="307"/>
      <c r="H70" s="307"/>
      <c r="I70" s="308"/>
      <c r="J70" s="306"/>
      <c r="K70" s="305"/>
      <c r="L70" s="305"/>
    </row>
    <row r="71" spans="1:12" ht="24.75" customHeight="1">
      <c r="A71" s="303"/>
      <c r="B71" s="304"/>
      <c r="C71" s="305"/>
      <c r="D71" s="305"/>
      <c r="E71" s="305"/>
      <c r="F71" s="306"/>
      <c r="G71" s="307"/>
      <c r="H71" s="307"/>
      <c r="I71" s="308"/>
      <c r="J71" s="306"/>
      <c r="K71" s="305"/>
      <c r="L71" s="305"/>
    </row>
    <row r="72" spans="1:12" ht="24.75" customHeight="1">
      <c r="A72" s="303"/>
      <c r="B72" s="304"/>
      <c r="C72" s="305"/>
      <c r="D72" s="305"/>
      <c r="E72" s="305"/>
      <c r="F72" s="306"/>
      <c r="G72" s="307"/>
      <c r="H72" s="307"/>
      <c r="I72" s="308"/>
      <c r="J72" s="306"/>
      <c r="K72" s="305"/>
      <c r="L72" s="305"/>
    </row>
    <row r="73" spans="1:12" ht="24.75" customHeight="1">
      <c r="A73" s="303"/>
      <c r="B73" s="304"/>
      <c r="C73" s="305"/>
      <c r="D73" s="305"/>
      <c r="E73" s="305"/>
      <c r="F73" s="306"/>
      <c r="G73" s="307"/>
      <c r="H73" s="307"/>
      <c r="I73" s="308"/>
      <c r="J73" s="306"/>
      <c r="K73" s="305"/>
      <c r="L73" s="305"/>
    </row>
    <row r="74" spans="1:12" ht="24.75" customHeight="1">
      <c r="A74" s="303"/>
      <c r="B74" s="304"/>
      <c r="C74" s="305"/>
      <c r="D74" s="305"/>
      <c r="E74" s="305"/>
      <c r="F74" s="306"/>
      <c r="G74" s="307"/>
      <c r="H74" s="307"/>
      <c r="I74" s="308"/>
      <c r="J74" s="306"/>
      <c r="K74" s="305"/>
      <c r="L74" s="305"/>
    </row>
    <row r="75" spans="1:12" ht="24.75" customHeight="1">
      <c r="A75" s="303"/>
      <c r="B75" s="304"/>
      <c r="C75" s="305"/>
      <c r="D75" s="305"/>
      <c r="E75" s="305"/>
      <c r="F75" s="306"/>
      <c r="G75" s="307"/>
      <c r="H75" s="307"/>
      <c r="I75" s="308"/>
      <c r="J75" s="306"/>
      <c r="K75" s="305"/>
      <c r="L75" s="305"/>
    </row>
    <row r="76" spans="1:12" ht="24.75" customHeight="1">
      <c r="A76" s="303"/>
      <c r="B76" s="304"/>
      <c r="C76" s="305"/>
      <c r="D76" s="305"/>
      <c r="E76" s="305"/>
      <c r="F76" s="306"/>
      <c r="G76" s="307"/>
      <c r="H76" s="307"/>
      <c r="I76" s="308"/>
      <c r="J76" s="306"/>
      <c r="K76" s="305"/>
      <c r="L76" s="305"/>
    </row>
    <row r="77" spans="1:12" ht="24.75" customHeight="1">
      <c r="A77" s="303"/>
      <c r="B77" s="304"/>
      <c r="C77" s="305"/>
      <c r="D77" s="305"/>
      <c r="E77" s="305"/>
      <c r="F77" s="306"/>
      <c r="G77" s="307"/>
      <c r="H77" s="307"/>
      <c r="I77" s="308"/>
      <c r="J77" s="306"/>
      <c r="K77" s="305"/>
      <c r="L77" s="305"/>
    </row>
    <row r="78" spans="1:12" ht="24.75" customHeight="1">
      <c r="A78" s="303"/>
      <c r="B78" s="304"/>
      <c r="C78" s="305"/>
      <c r="D78" s="305"/>
      <c r="E78" s="305"/>
      <c r="F78" s="306"/>
      <c r="G78" s="307"/>
      <c r="H78" s="307"/>
      <c r="I78" s="308"/>
      <c r="J78" s="306"/>
      <c r="K78" s="305"/>
      <c r="L78" s="305"/>
    </row>
    <row r="79" spans="1:12" ht="24.75" customHeight="1">
      <c r="A79" s="303"/>
      <c r="B79" s="304"/>
      <c r="C79" s="305"/>
      <c r="D79" s="305"/>
      <c r="E79" s="305"/>
      <c r="F79" s="306"/>
      <c r="G79" s="307"/>
      <c r="H79" s="307"/>
      <c r="I79" s="308"/>
      <c r="J79" s="306"/>
      <c r="K79" s="305"/>
      <c r="L79" s="305"/>
    </row>
    <row r="80" spans="1:12" ht="24.75" customHeight="1">
      <c r="A80" s="303"/>
      <c r="B80" s="304"/>
      <c r="C80" s="305"/>
      <c r="D80" s="305"/>
      <c r="E80" s="305"/>
      <c r="F80" s="306"/>
      <c r="G80" s="307"/>
      <c r="H80" s="307"/>
      <c r="I80" s="308"/>
      <c r="J80" s="306"/>
      <c r="K80" s="305"/>
      <c r="L80" s="305"/>
    </row>
    <row r="81" spans="1:12" ht="24.75" customHeight="1">
      <c r="A81" s="303"/>
      <c r="B81" s="304"/>
      <c r="C81" s="305"/>
      <c r="D81" s="305"/>
      <c r="E81" s="305"/>
      <c r="F81" s="306"/>
      <c r="G81" s="307"/>
      <c r="H81" s="307"/>
      <c r="I81" s="308"/>
      <c r="J81" s="306"/>
      <c r="K81" s="305"/>
      <c r="L81" s="305"/>
    </row>
    <row r="82" spans="1:12" ht="24.75" customHeight="1">
      <c r="A82" s="303"/>
      <c r="B82" s="304"/>
      <c r="C82" s="305"/>
      <c r="D82" s="305"/>
      <c r="E82" s="305"/>
      <c r="F82" s="306"/>
      <c r="G82" s="307"/>
      <c r="H82" s="307"/>
      <c r="I82" s="308"/>
      <c r="J82" s="306"/>
      <c r="K82" s="305"/>
      <c r="L82" s="305"/>
    </row>
    <row r="83" spans="1:12" ht="24.75" customHeight="1">
      <c r="A83" s="303"/>
      <c r="B83" s="304"/>
      <c r="C83" s="305"/>
      <c r="D83" s="305"/>
      <c r="E83" s="305"/>
      <c r="F83" s="306"/>
      <c r="G83" s="307"/>
      <c r="H83" s="307"/>
      <c r="I83" s="308"/>
      <c r="J83" s="306"/>
      <c r="K83" s="305"/>
      <c r="L83" s="305"/>
    </row>
    <row r="84" spans="1:12" ht="24.75" customHeight="1">
      <c r="A84" s="303"/>
      <c r="B84" s="304"/>
      <c r="C84" s="305"/>
      <c r="D84" s="305"/>
      <c r="E84" s="305"/>
      <c r="F84" s="306"/>
      <c r="G84" s="307"/>
      <c r="H84" s="307"/>
      <c r="I84" s="308"/>
      <c r="J84" s="306"/>
      <c r="K84" s="305"/>
      <c r="L84" s="305"/>
    </row>
    <row r="85" spans="1:12" ht="24.75" customHeight="1">
      <c r="A85" s="303"/>
      <c r="B85" s="304"/>
      <c r="C85" s="305"/>
      <c r="D85" s="305"/>
      <c r="E85" s="305"/>
      <c r="F85" s="306"/>
      <c r="G85" s="307"/>
      <c r="H85" s="307"/>
      <c r="I85" s="308"/>
      <c r="J85" s="306"/>
      <c r="K85" s="305"/>
      <c r="L85" s="305"/>
    </row>
    <row r="86" spans="1:12" ht="24.75" customHeight="1">
      <c r="A86" s="303"/>
      <c r="B86" s="304"/>
      <c r="C86" s="305"/>
      <c r="D86" s="305"/>
      <c r="E86" s="305"/>
      <c r="F86" s="306"/>
      <c r="G86" s="307"/>
      <c r="H86" s="307"/>
      <c r="I86" s="308"/>
      <c r="J86" s="306"/>
      <c r="K86" s="305"/>
      <c r="L86" s="305"/>
    </row>
    <row r="87" spans="1:12" ht="24.75" customHeight="1">
      <c r="A87" s="303"/>
      <c r="B87" s="304"/>
      <c r="C87" s="305"/>
      <c r="D87" s="305"/>
      <c r="E87" s="305"/>
      <c r="F87" s="306"/>
      <c r="G87" s="307"/>
      <c r="H87" s="307"/>
      <c r="I87" s="308"/>
      <c r="J87" s="306"/>
      <c r="K87" s="305"/>
      <c r="L87" s="305"/>
    </row>
    <row r="88" spans="1:12" ht="24.75" customHeight="1">
      <c r="A88" s="303"/>
      <c r="B88" s="304"/>
      <c r="C88" s="305"/>
      <c r="D88" s="305"/>
      <c r="E88" s="305"/>
      <c r="F88" s="306"/>
      <c r="G88" s="307"/>
      <c r="H88" s="307"/>
      <c r="I88" s="308"/>
      <c r="J88" s="306"/>
      <c r="K88" s="305"/>
      <c r="L88" s="305"/>
    </row>
    <row r="89" spans="1:12" ht="24.75" customHeight="1">
      <c r="A89" s="303"/>
      <c r="B89" s="304"/>
      <c r="C89" s="305"/>
      <c r="D89" s="305"/>
      <c r="E89" s="305"/>
      <c r="F89" s="306"/>
      <c r="G89" s="307"/>
      <c r="H89" s="307"/>
      <c r="I89" s="308"/>
      <c r="J89" s="306"/>
      <c r="K89" s="305"/>
      <c r="L89" s="305"/>
    </row>
    <row r="90" spans="1:12" ht="24.75" customHeight="1">
      <c r="A90" s="303"/>
      <c r="B90" s="304"/>
      <c r="C90" s="305"/>
      <c r="D90" s="305"/>
      <c r="E90" s="305"/>
      <c r="F90" s="306"/>
      <c r="G90" s="307"/>
      <c r="H90" s="307"/>
      <c r="I90" s="308"/>
      <c r="J90" s="306"/>
      <c r="K90" s="305"/>
      <c r="L90" s="305"/>
    </row>
    <row r="91" spans="1:12" ht="24.75" customHeight="1">
      <c r="A91" s="303"/>
      <c r="B91" s="304"/>
      <c r="C91" s="305"/>
      <c r="D91" s="305"/>
      <c r="E91" s="305"/>
      <c r="F91" s="306"/>
      <c r="G91" s="307"/>
      <c r="H91" s="307"/>
      <c r="I91" s="308"/>
      <c r="J91" s="306"/>
      <c r="K91" s="305"/>
      <c r="L91" s="305"/>
    </row>
    <row r="92" spans="1:12" ht="24.75" customHeight="1">
      <c r="A92" s="303"/>
      <c r="B92" s="304"/>
      <c r="C92" s="305"/>
      <c r="D92" s="305"/>
      <c r="E92" s="305"/>
      <c r="F92" s="306"/>
      <c r="G92" s="307"/>
      <c r="H92" s="307"/>
      <c r="I92" s="308"/>
      <c r="J92" s="306"/>
      <c r="K92" s="305"/>
      <c r="L92" s="305"/>
    </row>
    <row r="93" spans="1:12" ht="24.75" customHeight="1">
      <c r="A93" s="303"/>
      <c r="B93" s="304"/>
      <c r="C93" s="305"/>
      <c r="D93" s="305"/>
      <c r="E93" s="305"/>
      <c r="F93" s="306"/>
      <c r="G93" s="307"/>
      <c r="H93" s="307"/>
      <c r="I93" s="308"/>
      <c r="J93" s="306"/>
      <c r="K93" s="305"/>
      <c r="L93" s="305"/>
    </row>
    <row r="94" spans="1:12" ht="24.75" customHeight="1">
      <c r="A94" s="303"/>
      <c r="B94" s="304"/>
      <c r="C94" s="305"/>
      <c r="D94" s="305"/>
      <c r="E94" s="305"/>
      <c r="F94" s="306"/>
      <c r="G94" s="307"/>
      <c r="H94" s="307"/>
      <c r="I94" s="308"/>
      <c r="J94" s="306"/>
      <c r="K94" s="305"/>
      <c r="L94" s="305"/>
    </row>
    <row r="95" spans="1:12" ht="24.75" customHeight="1">
      <c r="A95" s="303"/>
      <c r="B95" s="304"/>
      <c r="C95" s="305"/>
      <c r="D95" s="305"/>
      <c r="E95" s="305"/>
      <c r="F95" s="306"/>
      <c r="G95" s="307"/>
      <c r="H95" s="307"/>
      <c r="I95" s="308"/>
      <c r="J95" s="306"/>
      <c r="K95" s="305"/>
      <c r="L95" s="305"/>
    </row>
    <row r="96" spans="1:12" ht="24.75" customHeight="1">
      <c r="A96" s="303"/>
      <c r="B96" s="304"/>
      <c r="C96" s="305"/>
      <c r="D96" s="305"/>
      <c r="E96" s="305"/>
      <c r="F96" s="306"/>
      <c r="G96" s="307"/>
      <c r="H96" s="307"/>
      <c r="I96" s="308"/>
      <c r="J96" s="306"/>
      <c r="K96" s="305"/>
      <c r="L96" s="305"/>
    </row>
    <row r="97" spans="1:12" ht="24.75" customHeight="1">
      <c r="A97" s="303"/>
      <c r="B97" s="304"/>
      <c r="C97" s="305"/>
      <c r="D97" s="305"/>
      <c r="E97" s="305"/>
      <c r="F97" s="306"/>
      <c r="G97" s="307"/>
      <c r="H97" s="307"/>
      <c r="I97" s="308"/>
      <c r="J97" s="306"/>
      <c r="K97" s="305"/>
      <c r="L97" s="305"/>
    </row>
    <row r="98" spans="1:12" ht="24.75" customHeight="1">
      <c r="A98" s="303"/>
      <c r="B98" s="304"/>
      <c r="C98" s="305"/>
      <c r="D98" s="305"/>
      <c r="E98" s="305"/>
      <c r="F98" s="306"/>
      <c r="G98" s="307"/>
      <c r="H98" s="307"/>
      <c r="I98" s="308"/>
      <c r="J98" s="306"/>
      <c r="K98" s="305"/>
      <c r="L98" s="305"/>
    </row>
    <row r="99" spans="1:12" ht="24.75" customHeight="1">
      <c r="A99" s="303"/>
      <c r="B99" s="304"/>
      <c r="C99" s="305"/>
      <c r="D99" s="305"/>
      <c r="E99" s="305"/>
      <c r="F99" s="306"/>
      <c r="G99" s="307"/>
      <c r="H99" s="307"/>
      <c r="I99" s="308"/>
      <c r="J99" s="306"/>
      <c r="K99" s="305"/>
      <c r="L99" s="305"/>
    </row>
    <row r="100" spans="1:12" ht="24.75" customHeight="1">
      <c r="A100" s="303"/>
      <c r="B100" s="304"/>
      <c r="C100" s="305"/>
      <c r="D100" s="305"/>
      <c r="E100" s="305"/>
      <c r="F100" s="306"/>
      <c r="G100" s="307"/>
      <c r="H100" s="307"/>
      <c r="I100" s="308"/>
      <c r="J100" s="306"/>
      <c r="K100" s="305"/>
      <c r="L100" s="305"/>
    </row>
    <row r="101" spans="1:12" ht="24.75" customHeight="1">
      <c r="A101" s="303"/>
      <c r="B101" s="304"/>
      <c r="C101" s="305"/>
      <c r="D101" s="305"/>
      <c r="E101" s="305"/>
      <c r="F101" s="306"/>
      <c r="G101" s="307"/>
      <c r="H101" s="307"/>
      <c r="I101" s="308"/>
      <c r="J101" s="306"/>
      <c r="K101" s="305"/>
      <c r="L101" s="305"/>
    </row>
    <row r="102" spans="1:12" ht="24.75" customHeight="1">
      <c r="A102" s="303"/>
      <c r="B102" s="304"/>
      <c r="C102" s="305"/>
      <c r="D102" s="305"/>
      <c r="E102" s="305"/>
      <c r="F102" s="306"/>
      <c r="G102" s="307"/>
      <c r="H102" s="307"/>
      <c r="I102" s="308"/>
      <c r="J102" s="306"/>
      <c r="K102" s="305"/>
      <c r="L102" s="305"/>
    </row>
    <row r="103" spans="1:12" ht="24.75" customHeight="1">
      <c r="A103" s="303"/>
      <c r="B103" s="304"/>
      <c r="C103" s="305"/>
      <c r="D103" s="305"/>
      <c r="E103" s="305"/>
      <c r="F103" s="306"/>
      <c r="G103" s="307"/>
      <c r="H103" s="307"/>
      <c r="I103" s="308"/>
      <c r="J103" s="306"/>
      <c r="K103" s="305"/>
      <c r="L103" s="305"/>
    </row>
    <row r="104" spans="1:12" ht="24.75" customHeight="1">
      <c r="A104" s="303"/>
      <c r="B104" s="304"/>
      <c r="C104" s="305"/>
      <c r="D104" s="305"/>
      <c r="E104" s="305"/>
      <c r="F104" s="306"/>
      <c r="G104" s="307"/>
      <c r="H104" s="307"/>
      <c r="I104" s="308"/>
      <c r="J104" s="306"/>
      <c r="K104" s="305"/>
      <c r="L104" s="305"/>
    </row>
    <row r="105" spans="1:12" ht="24.75" customHeight="1">
      <c r="A105" s="303"/>
      <c r="B105" s="304"/>
      <c r="C105" s="305"/>
      <c r="D105" s="305"/>
      <c r="E105" s="305"/>
      <c r="F105" s="306"/>
      <c r="G105" s="307"/>
      <c r="H105" s="307"/>
      <c r="I105" s="308"/>
      <c r="J105" s="306"/>
      <c r="K105" s="305"/>
      <c r="L105" s="305"/>
    </row>
    <row r="106" spans="1:12" ht="24.75" customHeight="1">
      <c r="A106" s="303"/>
      <c r="B106" s="304"/>
      <c r="C106" s="305"/>
      <c r="D106" s="305"/>
      <c r="E106" s="305"/>
      <c r="F106" s="306"/>
      <c r="G106" s="307"/>
      <c r="H106" s="307"/>
      <c r="I106" s="308"/>
      <c r="J106" s="306"/>
      <c r="K106" s="305"/>
      <c r="L106" s="305"/>
    </row>
    <row r="107" spans="1:12" ht="24.75" customHeight="1">
      <c r="A107" s="303"/>
      <c r="B107" s="304"/>
      <c r="C107" s="305"/>
      <c r="D107" s="305"/>
      <c r="E107" s="305"/>
      <c r="F107" s="306"/>
      <c r="G107" s="307"/>
      <c r="H107" s="307"/>
      <c r="I107" s="308"/>
      <c r="J107" s="306"/>
      <c r="K107" s="305"/>
      <c r="L107" s="305"/>
    </row>
    <row r="108" spans="1:12" ht="24.75" customHeight="1">
      <c r="A108" s="303"/>
      <c r="B108" s="304"/>
      <c r="C108" s="305"/>
      <c r="D108" s="305"/>
      <c r="E108" s="305"/>
      <c r="F108" s="306"/>
      <c r="G108" s="307"/>
      <c r="H108" s="307"/>
      <c r="I108" s="308"/>
      <c r="J108" s="306"/>
      <c r="K108" s="305"/>
      <c r="L108" s="305"/>
    </row>
    <row r="109" spans="1:12" ht="24.75" customHeight="1">
      <c r="A109" s="303"/>
      <c r="B109" s="304"/>
      <c r="C109" s="305"/>
      <c r="D109" s="305"/>
      <c r="E109" s="305"/>
      <c r="F109" s="306"/>
      <c r="G109" s="307"/>
      <c r="H109" s="307"/>
      <c r="I109" s="308"/>
      <c r="J109" s="306"/>
      <c r="K109" s="305"/>
      <c r="L109" s="305"/>
    </row>
    <row r="110" spans="1:12" ht="24.75" customHeight="1">
      <c r="A110" s="303"/>
      <c r="B110" s="304"/>
      <c r="C110" s="305"/>
      <c r="D110" s="305"/>
      <c r="E110" s="305"/>
      <c r="F110" s="306"/>
      <c r="G110" s="307"/>
      <c r="H110" s="307"/>
      <c r="I110" s="308"/>
      <c r="J110" s="306"/>
      <c r="K110" s="305"/>
      <c r="L110" s="305"/>
    </row>
    <row r="111" spans="1:12" ht="24.75" customHeight="1">
      <c r="A111" s="303"/>
      <c r="B111" s="304"/>
      <c r="C111" s="305"/>
      <c r="D111" s="305"/>
      <c r="E111" s="305"/>
      <c r="F111" s="306"/>
      <c r="G111" s="307"/>
      <c r="H111" s="307"/>
      <c r="I111" s="308"/>
      <c r="J111" s="306"/>
      <c r="K111" s="305"/>
      <c r="L111" s="305"/>
    </row>
    <row r="112" spans="1:12" ht="24.75" customHeight="1">
      <c r="A112" s="303"/>
      <c r="B112" s="304"/>
      <c r="C112" s="305"/>
      <c r="D112" s="305"/>
      <c r="E112" s="305"/>
      <c r="F112" s="306"/>
      <c r="G112" s="307"/>
      <c r="H112" s="307"/>
      <c r="I112" s="308"/>
      <c r="J112" s="306"/>
      <c r="K112" s="305"/>
      <c r="L112" s="305"/>
    </row>
    <row r="113" spans="1:12" ht="24.75" customHeight="1">
      <c r="A113" s="303"/>
      <c r="B113" s="304"/>
      <c r="C113" s="305"/>
      <c r="D113" s="305"/>
      <c r="E113" s="305"/>
      <c r="F113" s="306"/>
      <c r="G113" s="307"/>
      <c r="H113" s="307"/>
      <c r="I113" s="308"/>
      <c r="J113" s="306"/>
      <c r="K113" s="305"/>
      <c r="L113" s="305"/>
    </row>
    <row r="114" spans="1:12" ht="24.75" customHeight="1">
      <c r="A114" s="303"/>
      <c r="B114" s="304"/>
      <c r="C114" s="305"/>
      <c r="D114" s="305"/>
      <c r="E114" s="305"/>
      <c r="F114" s="306"/>
      <c r="G114" s="307"/>
      <c r="H114" s="307"/>
      <c r="I114" s="308"/>
      <c r="J114" s="306"/>
      <c r="K114" s="305"/>
      <c r="L114" s="305"/>
    </row>
    <row r="115" spans="1:12" ht="24.75" customHeight="1">
      <c r="A115" s="303"/>
      <c r="B115" s="304"/>
      <c r="C115" s="305"/>
      <c r="D115" s="305"/>
      <c r="E115" s="305"/>
      <c r="F115" s="306"/>
      <c r="G115" s="307"/>
      <c r="H115" s="307"/>
      <c r="I115" s="308"/>
      <c r="J115" s="306"/>
      <c r="K115" s="305"/>
      <c r="L115" s="305"/>
    </row>
    <row r="116" spans="1:12" ht="24.75" customHeight="1">
      <c r="A116" s="303"/>
      <c r="B116" s="304"/>
      <c r="C116" s="305"/>
      <c r="D116" s="305"/>
      <c r="E116" s="305"/>
      <c r="F116" s="306"/>
      <c r="G116" s="307"/>
      <c r="H116" s="307"/>
      <c r="I116" s="308"/>
      <c r="J116" s="306"/>
      <c r="K116" s="305"/>
      <c r="L116" s="305"/>
    </row>
    <row r="117" spans="1:12" ht="24.75" customHeight="1">
      <c r="A117" s="303"/>
      <c r="B117" s="304"/>
      <c r="C117" s="305"/>
      <c r="D117" s="305"/>
      <c r="E117" s="305"/>
      <c r="F117" s="306"/>
      <c r="G117" s="307"/>
      <c r="H117" s="307"/>
      <c r="I117" s="308"/>
      <c r="J117" s="306"/>
      <c r="K117" s="305"/>
      <c r="L117" s="305"/>
    </row>
    <row r="118" spans="1:12" ht="24.75" customHeight="1">
      <c r="A118" s="303"/>
      <c r="B118" s="304"/>
      <c r="C118" s="305"/>
      <c r="D118" s="305"/>
      <c r="E118" s="305"/>
      <c r="F118" s="306"/>
      <c r="G118" s="307"/>
      <c r="H118" s="307"/>
      <c r="I118" s="308"/>
      <c r="J118" s="306"/>
      <c r="K118" s="305"/>
      <c r="L118" s="305"/>
    </row>
    <row r="119" spans="1:12" ht="24.75" customHeight="1">
      <c r="A119" s="303"/>
      <c r="B119" s="304"/>
      <c r="C119" s="305"/>
      <c r="D119" s="305"/>
      <c r="E119" s="305"/>
      <c r="F119" s="306"/>
      <c r="G119" s="307"/>
      <c r="H119" s="307"/>
      <c r="I119" s="308"/>
      <c r="J119" s="306"/>
      <c r="K119" s="305"/>
      <c r="L119" s="305"/>
    </row>
    <row r="120" spans="1:12" ht="24.75" customHeight="1">
      <c r="A120" s="303"/>
      <c r="B120" s="304"/>
      <c r="C120" s="305"/>
      <c r="D120" s="305"/>
      <c r="E120" s="305"/>
      <c r="F120" s="306"/>
      <c r="G120" s="307"/>
      <c r="H120" s="307"/>
      <c r="I120" s="308"/>
      <c r="J120" s="306"/>
      <c r="K120" s="305"/>
      <c r="L120" s="305"/>
    </row>
    <row r="121" spans="1:12" ht="24.75" customHeight="1">
      <c r="A121" s="303"/>
      <c r="B121" s="304"/>
      <c r="C121" s="305"/>
      <c r="D121" s="305"/>
      <c r="E121" s="305"/>
      <c r="F121" s="306"/>
      <c r="G121" s="307"/>
      <c r="H121" s="307"/>
      <c r="I121" s="308"/>
      <c r="J121" s="306"/>
      <c r="K121" s="305"/>
      <c r="L121" s="305"/>
    </row>
    <row r="122" spans="1:12" ht="24.75" customHeight="1">
      <c r="A122" s="303"/>
      <c r="B122" s="304"/>
      <c r="C122" s="305"/>
      <c r="D122" s="305"/>
      <c r="E122" s="305"/>
      <c r="F122" s="306"/>
      <c r="G122" s="307"/>
      <c r="H122" s="307"/>
      <c r="I122" s="308"/>
      <c r="J122" s="306"/>
      <c r="K122" s="305"/>
      <c r="L122" s="305"/>
    </row>
    <row r="123" spans="1:12" ht="24.75" customHeight="1">
      <c r="A123" s="303"/>
      <c r="B123" s="304"/>
      <c r="C123" s="305"/>
      <c r="D123" s="305"/>
      <c r="E123" s="305"/>
      <c r="F123" s="306"/>
      <c r="G123" s="307"/>
      <c r="H123" s="307"/>
      <c r="I123" s="308"/>
      <c r="J123" s="306"/>
      <c r="K123" s="305"/>
      <c r="L123" s="305"/>
    </row>
    <row r="124" spans="1:12" ht="24.75" customHeight="1">
      <c r="A124" s="303"/>
      <c r="B124" s="304"/>
      <c r="C124" s="305"/>
      <c r="D124" s="305"/>
      <c r="E124" s="305"/>
      <c r="F124" s="306"/>
      <c r="G124" s="307"/>
      <c r="H124" s="307"/>
      <c r="I124" s="308"/>
      <c r="J124" s="306"/>
      <c r="K124" s="305"/>
      <c r="L124" s="305"/>
    </row>
    <row r="125" spans="1:12" ht="24.75" customHeight="1">
      <c r="A125" s="303"/>
      <c r="B125" s="304"/>
      <c r="C125" s="305"/>
      <c r="D125" s="305"/>
      <c r="E125" s="305"/>
      <c r="F125" s="306"/>
      <c r="G125" s="307"/>
      <c r="H125" s="307"/>
      <c r="I125" s="308"/>
      <c r="J125" s="306"/>
      <c r="K125" s="305"/>
      <c r="L125" s="305"/>
    </row>
    <row r="126" spans="1:12" ht="24.75" customHeight="1">
      <c r="A126" s="303"/>
      <c r="B126" s="304"/>
      <c r="C126" s="305"/>
      <c r="D126" s="305"/>
      <c r="E126" s="305"/>
      <c r="F126" s="306"/>
      <c r="G126" s="307"/>
      <c r="H126" s="307"/>
      <c r="I126" s="308"/>
      <c r="J126" s="306"/>
      <c r="K126" s="305"/>
      <c r="L126" s="305"/>
    </row>
    <row r="127" spans="1:12" ht="24.75" customHeight="1">
      <c r="A127" s="303"/>
      <c r="B127" s="304"/>
      <c r="C127" s="305"/>
      <c r="D127" s="305"/>
      <c r="E127" s="305"/>
      <c r="F127" s="306"/>
      <c r="G127" s="307"/>
      <c r="H127" s="307"/>
      <c r="I127" s="308"/>
      <c r="J127" s="306"/>
      <c r="K127" s="305"/>
      <c r="L127" s="305"/>
    </row>
    <row r="128" spans="1:12" ht="24.75" customHeight="1">
      <c r="A128" s="303"/>
      <c r="B128" s="304"/>
      <c r="C128" s="305"/>
      <c r="D128" s="305"/>
      <c r="E128" s="305"/>
      <c r="F128" s="306"/>
      <c r="G128" s="307"/>
      <c r="H128" s="307"/>
      <c r="I128" s="308"/>
      <c r="J128" s="306"/>
      <c r="K128" s="305"/>
      <c r="L128" s="305"/>
    </row>
    <row r="129" spans="1:12" ht="24.75" customHeight="1">
      <c r="A129" s="303"/>
      <c r="B129" s="304"/>
      <c r="C129" s="305"/>
      <c r="D129" s="305"/>
      <c r="E129" s="305"/>
      <c r="F129" s="306"/>
      <c r="G129" s="307"/>
      <c r="H129" s="307"/>
      <c r="I129" s="308"/>
      <c r="J129" s="306"/>
      <c r="K129" s="305"/>
      <c r="L129" s="305"/>
    </row>
    <row r="130" spans="1:12" ht="24.75" customHeight="1">
      <c r="A130" s="303"/>
      <c r="B130" s="304"/>
      <c r="C130" s="305"/>
      <c r="D130" s="305"/>
      <c r="E130" s="305"/>
      <c r="F130" s="306"/>
      <c r="G130" s="307"/>
      <c r="H130" s="307"/>
      <c r="I130" s="308"/>
      <c r="J130" s="306"/>
      <c r="K130" s="305"/>
      <c r="L130" s="305"/>
    </row>
    <row r="131" spans="1:12" ht="24.75" customHeight="1">
      <c r="A131" s="303"/>
      <c r="B131" s="304"/>
      <c r="C131" s="305"/>
      <c r="D131" s="305"/>
      <c r="E131" s="305"/>
      <c r="F131" s="306"/>
      <c r="G131" s="307"/>
      <c r="H131" s="307"/>
      <c r="I131" s="308"/>
      <c r="J131" s="306"/>
      <c r="K131" s="305"/>
      <c r="L131" s="305"/>
    </row>
    <row r="132" spans="1:12" ht="24.75" customHeight="1">
      <c r="A132" s="303"/>
      <c r="B132" s="304"/>
      <c r="C132" s="305"/>
      <c r="D132" s="305"/>
      <c r="E132" s="305"/>
      <c r="F132" s="306"/>
      <c r="G132" s="307"/>
      <c r="H132" s="307"/>
      <c r="I132" s="308"/>
      <c r="J132" s="306"/>
      <c r="K132" s="305"/>
      <c r="L132" s="305"/>
    </row>
    <row r="133" spans="1:12" ht="24.75" customHeight="1">
      <c r="A133" s="303"/>
      <c r="B133" s="304"/>
      <c r="C133" s="305"/>
      <c r="D133" s="305"/>
      <c r="E133" s="305"/>
      <c r="F133" s="306"/>
      <c r="G133" s="307"/>
      <c r="H133" s="307"/>
      <c r="I133" s="308"/>
      <c r="J133" s="306"/>
      <c r="K133" s="305"/>
      <c r="L133" s="305"/>
    </row>
    <row r="134" spans="1:12" ht="24.75" customHeight="1">
      <c r="A134" s="303"/>
      <c r="B134" s="304"/>
      <c r="C134" s="305"/>
      <c r="D134" s="305"/>
      <c r="E134" s="305"/>
      <c r="F134" s="306"/>
      <c r="G134" s="307"/>
      <c r="H134" s="307"/>
      <c r="I134" s="308"/>
      <c r="J134" s="306"/>
      <c r="K134" s="305"/>
      <c r="L134" s="305"/>
    </row>
    <row r="135" spans="1:12" ht="24.75" customHeight="1">
      <c r="A135" s="303"/>
      <c r="B135" s="304"/>
      <c r="C135" s="305"/>
      <c r="D135" s="305"/>
      <c r="E135" s="305"/>
      <c r="F135" s="306"/>
      <c r="G135" s="307"/>
      <c r="H135" s="307"/>
      <c r="I135" s="308"/>
      <c r="J135" s="306"/>
      <c r="K135" s="305"/>
      <c r="L135" s="305"/>
    </row>
    <row r="136" spans="1:12" ht="24.75" customHeight="1">
      <c r="A136" s="303"/>
      <c r="B136" s="304"/>
      <c r="C136" s="305"/>
      <c r="D136" s="305"/>
      <c r="E136" s="305"/>
      <c r="F136" s="306"/>
      <c r="G136" s="307"/>
      <c r="H136" s="307"/>
      <c r="I136" s="308"/>
      <c r="J136" s="306"/>
      <c r="K136" s="305"/>
      <c r="L136" s="305"/>
    </row>
    <row r="137" spans="1:12" ht="24.75" customHeight="1">
      <c r="A137" s="303"/>
      <c r="B137" s="304"/>
      <c r="C137" s="305"/>
      <c r="D137" s="305"/>
      <c r="E137" s="305"/>
      <c r="F137" s="306"/>
      <c r="G137" s="307"/>
      <c r="H137" s="307"/>
      <c r="I137" s="308"/>
      <c r="J137" s="306"/>
      <c r="K137" s="305"/>
      <c r="L137" s="305"/>
    </row>
    <row r="138" spans="1:12" ht="24.75" customHeight="1">
      <c r="A138" s="303"/>
      <c r="B138" s="304"/>
      <c r="C138" s="305"/>
      <c r="D138" s="305"/>
      <c r="E138" s="305"/>
      <c r="F138" s="306"/>
      <c r="G138" s="307"/>
      <c r="H138" s="307"/>
      <c r="I138" s="308"/>
      <c r="J138" s="306"/>
      <c r="K138" s="305"/>
      <c r="L138" s="305"/>
    </row>
    <row r="139" spans="1:12" ht="24.75" customHeight="1">
      <c r="A139" s="303"/>
      <c r="B139" s="304"/>
      <c r="C139" s="305"/>
      <c r="D139" s="305"/>
      <c r="E139" s="305"/>
      <c r="F139" s="306"/>
      <c r="G139" s="307"/>
      <c r="H139" s="307"/>
      <c r="I139" s="308"/>
      <c r="J139" s="306"/>
      <c r="K139" s="305"/>
      <c r="L139" s="305"/>
    </row>
    <row r="140" spans="1:12" ht="24.75" customHeight="1">
      <c r="A140" s="303"/>
      <c r="B140" s="304"/>
      <c r="C140" s="305"/>
      <c r="D140" s="305"/>
      <c r="E140" s="305"/>
      <c r="F140" s="306"/>
      <c r="G140" s="307"/>
      <c r="H140" s="307"/>
      <c r="I140" s="308"/>
      <c r="J140" s="306"/>
      <c r="K140" s="305"/>
      <c r="L140" s="305"/>
    </row>
    <row r="141" spans="1:12" ht="24.75" customHeight="1">
      <c r="A141" s="303"/>
      <c r="B141" s="304"/>
      <c r="C141" s="305"/>
      <c r="D141" s="305"/>
      <c r="E141" s="305"/>
      <c r="F141" s="306"/>
      <c r="G141" s="307"/>
      <c r="H141" s="307"/>
      <c r="I141" s="308"/>
      <c r="J141" s="306"/>
      <c r="K141" s="305"/>
      <c r="L141" s="305"/>
    </row>
    <row r="142" spans="1:12" ht="24.75" customHeight="1">
      <c r="A142" s="303"/>
      <c r="B142" s="304"/>
      <c r="C142" s="305"/>
      <c r="D142" s="305"/>
      <c r="E142" s="305"/>
      <c r="F142" s="306"/>
      <c r="G142" s="307"/>
      <c r="H142" s="307"/>
      <c r="I142" s="308"/>
      <c r="J142" s="306"/>
      <c r="K142" s="305"/>
      <c r="L142" s="305"/>
    </row>
    <row r="143" spans="1:12" ht="24.75" customHeight="1">
      <c r="A143" s="303"/>
      <c r="B143" s="304"/>
      <c r="C143" s="305"/>
      <c r="D143" s="305"/>
      <c r="E143" s="305"/>
      <c r="F143" s="306"/>
      <c r="G143" s="307"/>
      <c r="H143" s="307"/>
      <c r="I143" s="308"/>
      <c r="J143" s="306"/>
      <c r="K143" s="305"/>
      <c r="L143" s="305"/>
    </row>
    <row r="144" spans="1:12" ht="24.75" customHeight="1">
      <c r="A144" s="303"/>
      <c r="B144" s="304"/>
      <c r="C144" s="305"/>
      <c r="D144" s="305"/>
      <c r="E144" s="305"/>
      <c r="F144" s="306"/>
      <c r="G144" s="307"/>
      <c r="H144" s="307"/>
      <c r="I144" s="308"/>
      <c r="J144" s="306"/>
      <c r="K144" s="305"/>
      <c r="L144" s="305"/>
    </row>
    <row r="145" spans="1:12" ht="24.75" customHeight="1">
      <c r="A145" s="303"/>
      <c r="B145" s="304"/>
      <c r="C145" s="305"/>
      <c r="D145" s="305"/>
      <c r="E145" s="305"/>
      <c r="F145" s="306"/>
      <c r="G145" s="307"/>
      <c r="H145" s="307"/>
      <c r="I145" s="308"/>
      <c r="J145" s="306"/>
      <c r="K145" s="305"/>
      <c r="L145" s="305"/>
    </row>
    <row r="146" spans="1:12" ht="24.75" customHeight="1">
      <c r="A146" s="303"/>
      <c r="B146" s="304"/>
      <c r="C146" s="305"/>
      <c r="D146" s="305"/>
      <c r="E146" s="305"/>
      <c r="F146" s="306"/>
      <c r="G146" s="307"/>
      <c r="H146" s="307"/>
      <c r="I146" s="308"/>
      <c r="J146" s="306"/>
      <c r="K146" s="305"/>
      <c r="L146" s="305"/>
    </row>
    <row r="147" spans="1:12" ht="24.75" customHeight="1">
      <c r="A147" s="303"/>
      <c r="B147" s="304"/>
      <c r="C147" s="305"/>
      <c r="D147" s="305"/>
      <c r="E147" s="305"/>
      <c r="F147" s="306"/>
      <c r="G147" s="307"/>
      <c r="H147" s="307"/>
      <c r="I147" s="308"/>
      <c r="J147" s="306"/>
      <c r="K147" s="305"/>
      <c r="L147" s="305"/>
    </row>
    <row r="148" spans="1:12" ht="24.75" customHeight="1">
      <c r="A148" s="303"/>
      <c r="B148" s="304"/>
      <c r="C148" s="305"/>
      <c r="D148" s="305"/>
      <c r="E148" s="305"/>
      <c r="F148" s="306"/>
      <c r="G148" s="307"/>
      <c r="H148" s="307"/>
      <c r="I148" s="308"/>
      <c r="J148" s="306"/>
      <c r="K148" s="305"/>
      <c r="L148" s="305"/>
    </row>
    <row r="149" spans="1:12" ht="24.75" customHeight="1">
      <c r="A149" s="303"/>
      <c r="B149" s="304"/>
      <c r="C149" s="305"/>
      <c r="D149" s="305"/>
      <c r="E149" s="305"/>
      <c r="F149" s="306"/>
      <c r="G149" s="307"/>
      <c r="H149" s="307"/>
      <c r="I149" s="308"/>
      <c r="J149" s="306"/>
      <c r="K149" s="305"/>
      <c r="L149" s="305"/>
    </row>
    <row r="150" spans="1:12" ht="24.75" customHeight="1">
      <c r="A150" s="303"/>
      <c r="B150" s="304"/>
      <c r="C150" s="305"/>
      <c r="D150" s="305"/>
      <c r="E150" s="305"/>
      <c r="F150" s="306"/>
      <c r="G150" s="307"/>
      <c r="H150" s="307"/>
      <c r="I150" s="308"/>
      <c r="J150" s="306"/>
      <c r="K150" s="305"/>
      <c r="L150" s="305"/>
    </row>
    <row r="151" spans="1:12" ht="24.75" customHeight="1">
      <c r="A151" s="303"/>
      <c r="B151" s="304"/>
      <c r="C151" s="305"/>
      <c r="D151" s="305"/>
      <c r="E151" s="305"/>
      <c r="F151" s="306"/>
      <c r="G151" s="307"/>
      <c r="H151" s="307"/>
      <c r="I151" s="308"/>
      <c r="J151" s="306"/>
      <c r="K151" s="305"/>
      <c r="L151" s="305"/>
    </row>
    <row r="152" spans="1:12" ht="24.75" customHeight="1">
      <c r="A152" s="303"/>
      <c r="B152" s="304"/>
      <c r="C152" s="305"/>
      <c r="D152" s="305"/>
      <c r="E152" s="305"/>
      <c r="F152" s="306"/>
      <c r="G152" s="307"/>
      <c r="H152" s="307"/>
      <c r="I152" s="308"/>
      <c r="J152" s="306"/>
      <c r="K152" s="305"/>
      <c r="L152" s="305"/>
    </row>
    <row r="153" spans="1:12" ht="24.75" customHeight="1">
      <c r="A153" s="303"/>
      <c r="B153" s="304"/>
      <c r="C153" s="305"/>
      <c r="D153" s="305"/>
      <c r="E153" s="305"/>
      <c r="F153" s="306"/>
      <c r="G153" s="307"/>
      <c r="H153" s="307"/>
      <c r="I153" s="308"/>
      <c r="J153" s="306"/>
      <c r="K153" s="305"/>
      <c r="L153" s="305"/>
    </row>
    <row r="154" spans="1:12" ht="24.75" customHeight="1">
      <c r="A154" s="303"/>
      <c r="B154" s="304"/>
      <c r="C154" s="305"/>
      <c r="D154" s="305"/>
      <c r="E154" s="305"/>
      <c r="F154" s="306"/>
      <c r="G154" s="307"/>
      <c r="H154" s="307"/>
      <c r="I154" s="308"/>
      <c r="J154" s="306"/>
      <c r="K154" s="305"/>
      <c r="L154" s="305"/>
    </row>
    <row r="155" spans="1:12" ht="24.75" customHeight="1">
      <c r="A155" s="303"/>
      <c r="B155" s="304"/>
      <c r="C155" s="305"/>
      <c r="D155" s="305"/>
      <c r="E155" s="305"/>
      <c r="F155" s="306"/>
      <c r="G155" s="307"/>
      <c r="H155" s="307"/>
      <c r="I155" s="308"/>
      <c r="J155" s="306"/>
      <c r="K155" s="305"/>
      <c r="L155" s="305"/>
    </row>
    <row r="156" spans="1:12" ht="24.75" customHeight="1">
      <c r="A156" s="303"/>
      <c r="B156" s="304"/>
      <c r="C156" s="305"/>
      <c r="D156" s="305"/>
      <c r="E156" s="305"/>
      <c r="F156" s="306"/>
      <c r="G156" s="307"/>
      <c r="H156" s="307"/>
      <c r="I156" s="308"/>
      <c r="J156" s="306"/>
      <c r="K156" s="305"/>
      <c r="L156" s="305"/>
    </row>
    <row r="157" spans="1:12" ht="24.75" customHeight="1">
      <c r="A157" s="303"/>
      <c r="B157" s="304"/>
      <c r="C157" s="305"/>
      <c r="D157" s="305"/>
      <c r="E157" s="305"/>
      <c r="F157" s="306"/>
      <c r="G157" s="307"/>
      <c r="H157" s="307"/>
      <c r="I157" s="308"/>
      <c r="J157" s="306"/>
      <c r="K157" s="305"/>
      <c r="L157" s="305"/>
    </row>
    <row r="158" spans="1:12" ht="24.75" customHeight="1">
      <c r="A158" s="303"/>
      <c r="B158" s="304"/>
      <c r="C158" s="305"/>
      <c r="D158" s="305"/>
      <c r="E158" s="305"/>
      <c r="F158" s="306"/>
      <c r="G158" s="307"/>
      <c r="H158" s="307"/>
      <c r="I158" s="308"/>
      <c r="J158" s="306"/>
      <c r="K158" s="305"/>
      <c r="L158" s="305"/>
    </row>
    <row r="159" spans="1:12" ht="24.75" customHeight="1">
      <c r="A159" s="303"/>
      <c r="B159" s="304"/>
      <c r="C159" s="305"/>
      <c r="D159" s="305"/>
      <c r="E159" s="305"/>
      <c r="F159" s="306"/>
      <c r="G159" s="307"/>
      <c r="H159" s="307"/>
      <c r="I159" s="308"/>
      <c r="J159" s="306"/>
      <c r="K159" s="305"/>
      <c r="L159" s="305"/>
    </row>
    <row r="160" spans="1:12" ht="24.75" customHeight="1">
      <c r="A160" s="303"/>
      <c r="B160" s="304"/>
      <c r="C160" s="305"/>
      <c r="D160" s="305"/>
      <c r="E160" s="305"/>
      <c r="F160" s="306"/>
      <c r="G160" s="307"/>
      <c r="H160" s="307"/>
      <c r="I160" s="308"/>
      <c r="J160" s="306"/>
      <c r="K160" s="305"/>
      <c r="L160" s="305"/>
    </row>
    <row r="161" spans="1:12" ht="24.75" customHeight="1">
      <c r="A161" s="303"/>
      <c r="B161" s="304"/>
      <c r="C161" s="305"/>
      <c r="D161" s="305"/>
      <c r="E161" s="305"/>
      <c r="F161" s="306"/>
      <c r="G161" s="307"/>
      <c r="H161" s="307"/>
      <c r="I161" s="308"/>
      <c r="J161" s="306"/>
      <c r="K161" s="305"/>
      <c r="L161" s="305"/>
    </row>
    <row r="162" spans="1:12" ht="24.75" customHeight="1">
      <c r="A162" s="303"/>
      <c r="B162" s="304"/>
      <c r="C162" s="305"/>
      <c r="D162" s="305"/>
      <c r="E162" s="305"/>
      <c r="F162" s="306"/>
      <c r="G162" s="307"/>
      <c r="H162" s="307"/>
      <c r="I162" s="308"/>
      <c r="J162" s="306"/>
      <c r="K162" s="305"/>
      <c r="L162" s="305"/>
    </row>
    <row r="163" spans="1:12" ht="24.75" customHeight="1">
      <c r="A163" s="303"/>
      <c r="B163" s="304"/>
      <c r="C163" s="305"/>
      <c r="D163" s="305"/>
      <c r="E163" s="305"/>
      <c r="F163" s="306"/>
      <c r="G163" s="307"/>
      <c r="H163" s="307"/>
      <c r="I163" s="308"/>
      <c r="J163" s="306"/>
      <c r="K163" s="305"/>
      <c r="L163" s="305"/>
    </row>
    <row r="164" spans="1:12" ht="24.75" customHeight="1">
      <c r="A164" s="303"/>
      <c r="B164" s="304"/>
      <c r="C164" s="305"/>
      <c r="D164" s="305"/>
      <c r="E164" s="305"/>
      <c r="F164" s="306"/>
      <c r="G164" s="307"/>
      <c r="H164" s="307"/>
      <c r="I164" s="308"/>
      <c r="J164" s="306"/>
      <c r="K164" s="305"/>
      <c r="L164" s="305"/>
    </row>
    <row r="165" spans="1:12" ht="24.75" customHeight="1">
      <c r="A165" s="303"/>
      <c r="B165" s="304"/>
      <c r="C165" s="305"/>
      <c r="D165" s="305"/>
      <c r="E165" s="305"/>
      <c r="F165" s="306"/>
      <c r="G165" s="307"/>
      <c r="H165" s="307"/>
      <c r="I165" s="308"/>
      <c r="J165" s="306"/>
      <c r="K165" s="305"/>
      <c r="L165" s="305"/>
    </row>
    <row r="166" spans="1:12" ht="24.75" customHeight="1">
      <c r="A166" s="303"/>
      <c r="B166" s="304"/>
      <c r="C166" s="305"/>
      <c r="D166" s="305"/>
      <c r="E166" s="305"/>
      <c r="F166" s="306"/>
      <c r="G166" s="307"/>
      <c r="H166" s="307"/>
      <c r="I166" s="308"/>
      <c r="J166" s="306"/>
      <c r="K166" s="305"/>
      <c r="L166" s="305"/>
    </row>
    <row r="167" spans="1:12" ht="24.75" customHeight="1">
      <c r="A167" s="303"/>
      <c r="B167" s="304"/>
      <c r="C167" s="305"/>
      <c r="D167" s="305"/>
      <c r="E167" s="305"/>
      <c r="F167" s="306"/>
      <c r="G167" s="307"/>
      <c r="H167" s="307"/>
      <c r="I167" s="308"/>
      <c r="J167" s="306"/>
      <c r="K167" s="305"/>
      <c r="L167" s="305"/>
    </row>
    <row r="168" spans="1:12" ht="24.75" customHeight="1">
      <c r="A168" s="303"/>
      <c r="B168" s="304"/>
      <c r="C168" s="305"/>
      <c r="D168" s="305"/>
      <c r="E168" s="305"/>
      <c r="F168" s="306"/>
      <c r="G168" s="307"/>
      <c r="H168" s="307"/>
      <c r="I168" s="308"/>
      <c r="J168" s="306"/>
      <c r="K168" s="305"/>
      <c r="L168" s="305"/>
    </row>
    <row r="169" spans="1:12" ht="24.75" customHeight="1">
      <c r="A169" s="303"/>
      <c r="B169" s="304"/>
      <c r="C169" s="305"/>
      <c r="D169" s="305"/>
      <c r="E169" s="305"/>
      <c r="F169" s="306"/>
      <c r="G169" s="307"/>
      <c r="H169" s="307"/>
      <c r="I169" s="308"/>
      <c r="J169" s="306"/>
      <c r="K169" s="305"/>
      <c r="L169" s="305"/>
    </row>
    <row r="170" spans="1:12" ht="24.75" customHeight="1">
      <c r="A170" s="303"/>
      <c r="B170" s="304"/>
      <c r="C170" s="305"/>
      <c r="D170" s="305"/>
      <c r="E170" s="305"/>
      <c r="F170" s="306"/>
      <c r="G170" s="307"/>
      <c r="H170" s="307"/>
      <c r="I170" s="308"/>
      <c r="J170" s="306"/>
      <c r="K170" s="305"/>
      <c r="L170" s="305"/>
    </row>
    <row r="171" spans="1:12" ht="24.75" customHeight="1">
      <c r="A171" s="303"/>
      <c r="B171" s="304"/>
      <c r="C171" s="305"/>
      <c r="D171" s="305"/>
      <c r="E171" s="305"/>
      <c r="F171" s="306"/>
      <c r="G171" s="307"/>
      <c r="H171" s="307"/>
      <c r="I171" s="308"/>
      <c r="J171" s="306"/>
      <c r="K171" s="305"/>
      <c r="L171" s="305"/>
    </row>
    <row r="172" spans="1:12" ht="24.75" customHeight="1">
      <c r="A172" s="303"/>
      <c r="B172" s="304"/>
      <c r="C172" s="305"/>
      <c r="D172" s="305"/>
      <c r="E172" s="305"/>
      <c r="F172" s="306"/>
      <c r="G172" s="307"/>
      <c r="H172" s="307"/>
      <c r="I172" s="308"/>
      <c r="J172" s="306"/>
      <c r="K172" s="305"/>
      <c r="L172" s="305"/>
    </row>
    <row r="173" spans="1:12" ht="24.75" customHeight="1">
      <c r="A173" s="303"/>
      <c r="B173" s="304"/>
      <c r="C173" s="305"/>
      <c r="D173" s="305"/>
      <c r="E173" s="305"/>
      <c r="F173" s="306"/>
      <c r="G173" s="307"/>
      <c r="H173" s="307"/>
      <c r="I173" s="308"/>
      <c r="J173" s="306"/>
      <c r="K173" s="305"/>
      <c r="L173" s="305"/>
    </row>
    <row r="174" spans="1:12" ht="24.75" customHeight="1">
      <c r="A174" s="303"/>
      <c r="B174" s="304"/>
      <c r="C174" s="305"/>
      <c r="D174" s="305"/>
      <c r="E174" s="305"/>
      <c r="F174" s="306"/>
      <c r="G174" s="307"/>
      <c r="H174" s="307"/>
      <c r="I174" s="308"/>
      <c r="J174" s="306"/>
      <c r="K174" s="305"/>
      <c r="L174" s="305"/>
    </row>
    <row r="175" spans="1:12" ht="24.75" customHeight="1">
      <c r="A175" s="303"/>
      <c r="B175" s="304"/>
      <c r="C175" s="305"/>
      <c r="D175" s="305"/>
      <c r="E175" s="305"/>
      <c r="F175" s="306"/>
      <c r="G175" s="307"/>
      <c r="H175" s="307"/>
      <c r="I175" s="308"/>
      <c r="J175" s="306"/>
      <c r="K175" s="305"/>
      <c r="L175" s="305"/>
    </row>
    <row r="176" spans="1:12" ht="24.75" customHeight="1">
      <c r="A176" s="303"/>
      <c r="B176" s="304"/>
      <c r="C176" s="305"/>
      <c r="D176" s="305"/>
      <c r="E176" s="305"/>
      <c r="F176" s="306"/>
      <c r="G176" s="307"/>
      <c r="H176" s="307"/>
      <c r="I176" s="308"/>
      <c r="J176" s="306"/>
      <c r="K176" s="305"/>
      <c r="L176" s="305"/>
    </row>
    <row r="177" spans="1:12" ht="24.75" customHeight="1">
      <c r="A177" s="303"/>
      <c r="B177" s="304"/>
      <c r="C177" s="305"/>
      <c r="D177" s="305"/>
      <c r="E177" s="305"/>
      <c r="F177" s="306"/>
      <c r="G177" s="307"/>
      <c r="H177" s="307"/>
      <c r="I177" s="308"/>
      <c r="J177" s="306"/>
      <c r="K177" s="305"/>
      <c r="L177" s="305"/>
    </row>
    <row r="178" spans="1:12" ht="24.75" customHeight="1">
      <c r="A178" s="303"/>
      <c r="B178" s="304"/>
      <c r="C178" s="305"/>
      <c r="D178" s="305"/>
      <c r="E178" s="305"/>
      <c r="F178" s="306"/>
      <c r="G178" s="307"/>
      <c r="H178" s="307"/>
      <c r="I178" s="308"/>
      <c r="J178" s="306"/>
      <c r="K178" s="305"/>
      <c r="L178" s="305"/>
    </row>
    <row r="179" spans="1:12" s="17" customFormat="1" ht="24" customHeight="1">
      <c r="A179" s="119"/>
      <c r="B179" s="111"/>
      <c r="C179" s="299"/>
      <c r="D179" s="299"/>
      <c r="E179" s="299"/>
      <c r="F179" s="300"/>
      <c r="G179" s="301"/>
      <c r="H179" s="301"/>
      <c r="I179" s="200"/>
      <c r="J179" s="300"/>
      <c r="K179" s="302"/>
      <c r="L179" s="302"/>
    </row>
    <row r="180" spans="1:12" s="17" customFormat="1" ht="24" customHeight="1">
      <c r="A180" s="119"/>
      <c r="B180" s="111"/>
      <c r="C180" s="299"/>
      <c r="D180" s="299"/>
      <c r="E180" s="299"/>
      <c r="F180" s="300"/>
      <c r="G180" s="301"/>
      <c r="H180" s="301"/>
      <c r="I180" s="200"/>
      <c r="J180" s="300"/>
      <c r="K180" s="302"/>
      <c r="L180" s="302"/>
    </row>
    <row r="181" spans="1:12" s="17" customFormat="1" ht="24" customHeight="1">
      <c r="A181" s="119"/>
      <c r="B181" s="111"/>
      <c r="C181" s="299"/>
      <c r="D181" s="299"/>
      <c r="E181" s="299"/>
      <c r="F181" s="300"/>
      <c r="G181" s="301"/>
      <c r="H181" s="301"/>
      <c r="I181" s="200"/>
      <c r="J181" s="300"/>
      <c r="K181" s="302"/>
      <c r="L181" s="302"/>
    </row>
    <row r="182" spans="1:12" s="17" customFormat="1" ht="24" customHeight="1">
      <c r="A182" s="119"/>
      <c r="B182" s="111"/>
      <c r="C182" s="299"/>
      <c r="D182" s="299"/>
      <c r="E182" s="299"/>
      <c r="F182" s="300"/>
      <c r="G182" s="301"/>
      <c r="H182" s="301"/>
      <c r="I182" s="200"/>
      <c r="J182" s="300"/>
      <c r="K182" s="302"/>
      <c r="L182" s="302"/>
    </row>
    <row r="183" spans="1:12" s="17" customFormat="1" ht="24" customHeight="1">
      <c r="A183" s="119"/>
      <c r="B183" s="111"/>
      <c r="C183" s="299"/>
      <c r="D183" s="299"/>
      <c r="E183" s="299"/>
      <c r="F183" s="300"/>
      <c r="G183" s="301"/>
      <c r="H183" s="301"/>
      <c r="I183" s="200"/>
      <c r="J183" s="300"/>
      <c r="K183" s="302"/>
      <c r="L183" s="302"/>
    </row>
    <row r="184" spans="1:12" s="17" customFormat="1" ht="24" customHeight="1">
      <c r="A184" s="119"/>
      <c r="B184" s="111"/>
      <c r="C184" s="299"/>
      <c r="D184" s="299"/>
      <c r="E184" s="299"/>
      <c r="F184" s="300"/>
      <c r="G184" s="301"/>
      <c r="H184" s="301"/>
      <c r="I184" s="200"/>
      <c r="J184" s="300"/>
      <c r="K184" s="302"/>
      <c r="L184" s="302"/>
    </row>
    <row r="185" spans="1:12" s="17" customFormat="1" ht="24" customHeight="1">
      <c r="A185" s="119"/>
      <c r="B185" s="111"/>
      <c r="C185" s="299"/>
      <c r="D185" s="299"/>
      <c r="E185" s="299"/>
      <c r="F185" s="300"/>
      <c r="G185" s="301"/>
      <c r="H185" s="301"/>
      <c r="I185" s="200"/>
      <c r="J185" s="300"/>
      <c r="K185" s="302"/>
      <c r="L185" s="302"/>
    </row>
    <row r="186" spans="1:12" s="17" customFormat="1" ht="24" customHeight="1">
      <c r="A186" s="119"/>
      <c r="B186" s="111"/>
      <c r="C186" s="299"/>
      <c r="D186" s="299"/>
      <c r="E186" s="299"/>
      <c r="F186" s="300"/>
      <c r="G186" s="301"/>
      <c r="H186" s="301"/>
      <c r="I186" s="200"/>
      <c r="J186" s="300"/>
      <c r="K186" s="302"/>
      <c r="L186" s="302"/>
    </row>
    <row r="187" spans="1:12" s="17" customFormat="1" ht="24" customHeight="1">
      <c r="A187" s="119"/>
      <c r="B187" s="111"/>
      <c r="C187" s="299"/>
      <c r="D187" s="299"/>
      <c r="E187" s="299"/>
      <c r="F187" s="300"/>
      <c r="G187" s="301"/>
      <c r="H187" s="301"/>
      <c r="I187" s="200"/>
      <c r="J187" s="300"/>
      <c r="K187" s="302"/>
      <c r="L187" s="302"/>
    </row>
    <row r="188" spans="1:12" s="17" customFormat="1" ht="24" customHeight="1">
      <c r="A188" s="119"/>
      <c r="B188" s="111"/>
      <c r="C188" s="299"/>
      <c r="D188" s="299"/>
      <c r="E188" s="299"/>
      <c r="F188" s="300"/>
      <c r="G188" s="301"/>
      <c r="H188" s="301"/>
      <c r="I188" s="200"/>
      <c r="J188" s="300"/>
      <c r="K188" s="302"/>
      <c r="L188" s="302"/>
    </row>
    <row r="189" spans="1:12" s="17" customFormat="1" ht="24" customHeight="1">
      <c r="A189" s="119"/>
      <c r="B189" s="111"/>
      <c r="C189" s="299"/>
      <c r="D189" s="299"/>
      <c r="E189" s="299"/>
      <c r="F189" s="300"/>
      <c r="G189" s="301"/>
      <c r="H189" s="301"/>
      <c r="I189" s="200"/>
      <c r="J189" s="300"/>
      <c r="K189" s="302"/>
      <c r="L189" s="302"/>
    </row>
    <row r="190" spans="1:12" s="17" customFormat="1" ht="24" customHeight="1">
      <c r="A190" s="119"/>
      <c r="B190" s="111"/>
      <c r="C190" s="299"/>
      <c r="D190" s="299"/>
      <c r="E190" s="299"/>
      <c r="F190" s="300"/>
      <c r="G190" s="301"/>
      <c r="H190" s="301"/>
      <c r="I190" s="200"/>
      <c r="J190" s="300"/>
      <c r="K190" s="302"/>
      <c r="L190" s="302"/>
    </row>
    <row r="191" spans="1:12" s="17" customFormat="1" ht="24" customHeight="1">
      <c r="A191" s="119"/>
      <c r="B191" s="111"/>
      <c r="C191" s="299"/>
      <c r="D191" s="299"/>
      <c r="E191" s="299"/>
      <c r="F191" s="300"/>
      <c r="G191" s="301"/>
      <c r="H191" s="301"/>
      <c r="I191" s="200"/>
      <c r="J191" s="300"/>
      <c r="K191" s="302"/>
      <c r="L191" s="302"/>
    </row>
    <row r="192" spans="1:12" s="17" customFormat="1" ht="24" customHeight="1">
      <c r="A192" s="119"/>
      <c r="B192" s="111"/>
      <c r="C192" s="299"/>
      <c r="D192" s="299"/>
      <c r="E192" s="299"/>
      <c r="F192" s="300"/>
      <c r="G192" s="301"/>
      <c r="H192" s="301"/>
      <c r="I192" s="200"/>
      <c r="J192" s="300"/>
      <c r="K192" s="302"/>
      <c r="L192" s="302"/>
    </row>
    <row r="193" spans="1:12" s="17" customFormat="1" ht="24" customHeight="1">
      <c r="A193" s="119"/>
      <c r="B193" s="111"/>
      <c r="C193" s="299"/>
      <c r="D193" s="299"/>
      <c r="E193" s="299"/>
      <c r="F193" s="300"/>
      <c r="G193" s="301"/>
      <c r="H193" s="301"/>
      <c r="I193" s="200"/>
      <c r="J193" s="300"/>
      <c r="K193" s="302"/>
      <c r="L193" s="302"/>
    </row>
    <row r="194" spans="1:12" s="17" customFormat="1" ht="24" customHeight="1">
      <c r="A194" s="119"/>
      <c r="B194" s="111"/>
      <c r="C194" s="299"/>
      <c r="D194" s="299"/>
      <c r="E194" s="299"/>
      <c r="F194" s="300"/>
      <c r="G194" s="301"/>
      <c r="H194" s="301"/>
      <c r="I194" s="200"/>
      <c r="J194" s="300"/>
      <c r="K194" s="302"/>
      <c r="L194" s="302"/>
    </row>
    <row r="195" spans="1:12" s="17" customFormat="1" ht="24" customHeight="1">
      <c r="A195" s="119"/>
      <c r="B195" s="111"/>
      <c r="C195" s="299"/>
      <c r="D195" s="299"/>
      <c r="E195" s="299"/>
      <c r="F195" s="300"/>
      <c r="G195" s="301"/>
      <c r="H195" s="301"/>
      <c r="I195" s="200"/>
      <c r="J195" s="300"/>
      <c r="K195" s="302"/>
      <c r="L195" s="302"/>
    </row>
    <row r="196" spans="1:12" ht="42.75" customHeight="1">
      <c r="A196" s="451" t="s">
        <v>622</v>
      </c>
      <c r="B196" s="451"/>
      <c r="C196" s="451"/>
      <c r="D196" s="451"/>
      <c r="E196" s="451"/>
      <c r="F196" s="451"/>
      <c r="G196" s="451"/>
      <c r="H196" s="451"/>
      <c r="I196" s="451"/>
      <c r="J196" s="451"/>
      <c r="K196" s="451"/>
      <c r="L196" s="451"/>
    </row>
  </sheetData>
  <mergeCells count="3">
    <mergeCell ref="A1:L1"/>
    <mergeCell ref="A196:L196"/>
    <mergeCell ref="B2:H2"/>
  </mergeCells>
  <phoneticPr fontId="6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7448-9666-269C-52A5-97AC2F7CA8CC}">
  <dimension ref="A1:E306"/>
  <sheetViews>
    <sheetView showGridLines="0" workbookViewId="0">
      <selection activeCell="D115" sqref="D115"/>
    </sheetView>
  </sheetViews>
  <sheetFormatPr defaultColWidth="9" defaultRowHeight="14" customHeight="1"/>
  <cols>
    <col min="1" max="1" width="12" style="2" customWidth="1"/>
    <col min="2" max="2" width="24" style="2" customWidth="1"/>
    <col min="3" max="3" width="24.5859375" style="2" customWidth="1"/>
    <col min="4" max="4" width="25" style="2" customWidth="1"/>
    <col min="5" max="5" width="23.5859375" style="2" customWidth="1"/>
  </cols>
  <sheetData>
    <row r="1" spans="1:5" ht="39.75" customHeight="1">
      <c r="A1" s="452" t="s">
        <v>623</v>
      </c>
      <c r="B1" s="453"/>
      <c r="C1" s="453"/>
      <c r="D1" s="453"/>
      <c r="E1" s="454"/>
    </row>
    <row r="2" spans="1:5" ht="14" customHeight="1">
      <c r="A2" s="309" t="s">
        <v>35</v>
      </c>
      <c r="B2" s="455"/>
      <c r="C2" s="455"/>
      <c r="D2" s="309" t="s">
        <v>36</v>
      </c>
      <c r="E2" s="310"/>
    </row>
    <row r="3" spans="1:5" ht="23.25" customHeight="1">
      <c r="A3" s="311" t="s">
        <v>404</v>
      </c>
      <c r="B3" s="311" t="s">
        <v>624</v>
      </c>
      <c r="C3" s="311" t="s">
        <v>625</v>
      </c>
      <c r="D3" s="311" t="s">
        <v>626</v>
      </c>
      <c r="E3" s="3" t="s">
        <v>228</v>
      </c>
    </row>
    <row r="4" spans="1:5" ht="23.25" hidden="1" customHeight="1">
      <c r="A4" s="311"/>
      <c r="B4" s="311"/>
      <c r="C4" s="311"/>
      <c r="D4" s="311"/>
      <c r="E4" s="3"/>
    </row>
    <row r="5" spans="1:5" ht="14.25" customHeight="1">
      <c r="A5" s="312" t="s">
        <v>627</v>
      </c>
      <c r="B5" s="313" t="s">
        <v>628</v>
      </c>
      <c r="C5" s="314">
        <f>SUM(C6:C8)</f>
        <v>0</v>
      </c>
      <c r="D5" s="314"/>
      <c r="E5" s="315"/>
    </row>
    <row r="6" spans="1:5" ht="14.25" customHeight="1">
      <c r="A6" s="312" t="s">
        <v>629</v>
      </c>
      <c r="B6" s="313" t="s">
        <v>630</v>
      </c>
      <c r="C6" s="314">
        <v>0</v>
      </c>
      <c r="D6" s="314"/>
      <c r="E6" s="315"/>
    </row>
    <row r="7" spans="1:5" ht="14.25" customHeight="1">
      <c r="A7" s="312" t="s">
        <v>631</v>
      </c>
      <c r="B7" s="313" t="s">
        <v>632</v>
      </c>
      <c r="C7" s="314">
        <v>0</v>
      </c>
      <c r="D7" s="314"/>
      <c r="E7" s="315"/>
    </row>
    <row r="8" spans="1:5" ht="14.25" customHeight="1">
      <c r="A8" s="312" t="s">
        <v>633</v>
      </c>
      <c r="B8" s="313" t="s">
        <v>634</v>
      </c>
      <c r="C8" s="314">
        <v>0</v>
      </c>
      <c r="D8" s="314"/>
      <c r="E8" s="315"/>
    </row>
    <row r="9" spans="1:5" ht="14.25" customHeight="1">
      <c r="A9" s="312" t="s">
        <v>635</v>
      </c>
      <c r="B9" s="313" t="s">
        <v>636</v>
      </c>
      <c r="C9" s="314">
        <f>SUM(C10:C21,C26,C31,C34,C39,C42,C43)</f>
        <v>0</v>
      </c>
      <c r="D9" s="314"/>
      <c r="E9" s="315"/>
    </row>
    <row r="10" spans="1:5" ht="14.25" customHeight="1">
      <c r="A10" s="312" t="s">
        <v>302</v>
      </c>
      <c r="B10" s="313" t="s">
        <v>637</v>
      </c>
      <c r="C10" s="314">
        <v>0</v>
      </c>
      <c r="D10" s="314"/>
      <c r="E10" s="315"/>
    </row>
    <row r="11" spans="1:5" ht="14" customHeight="1">
      <c r="A11" s="316" t="s">
        <v>492</v>
      </c>
      <c r="B11" s="317" t="s">
        <v>638</v>
      </c>
      <c r="C11" s="314">
        <v>0</v>
      </c>
      <c r="D11" s="316"/>
      <c r="E11" s="316"/>
    </row>
    <row r="12" spans="1:5" ht="14" customHeight="1">
      <c r="A12" s="316" t="s">
        <v>639</v>
      </c>
      <c r="B12" s="317" t="s">
        <v>640</v>
      </c>
      <c r="C12" s="314">
        <v>0</v>
      </c>
      <c r="D12" s="316"/>
      <c r="E12" s="316"/>
    </row>
    <row r="13" spans="1:5" ht="14" customHeight="1">
      <c r="A13" s="316" t="s">
        <v>641</v>
      </c>
      <c r="B13" s="317" t="s">
        <v>642</v>
      </c>
      <c r="C13" s="314">
        <v>0</v>
      </c>
      <c r="D13" s="316"/>
      <c r="E13" s="316"/>
    </row>
    <row r="14" spans="1:5" ht="14.25" customHeight="1">
      <c r="A14" s="312" t="s">
        <v>643</v>
      </c>
      <c r="B14" s="313" t="s">
        <v>644</v>
      </c>
      <c r="C14" s="314">
        <v>0</v>
      </c>
      <c r="D14" s="314"/>
      <c r="E14" s="315"/>
    </row>
    <row r="15" spans="1:5" ht="14.25" customHeight="1">
      <c r="A15" s="312" t="s">
        <v>304</v>
      </c>
      <c r="B15" s="313" t="s">
        <v>645</v>
      </c>
      <c r="C15" s="314">
        <v>0</v>
      </c>
      <c r="D15" s="314"/>
      <c r="E15" s="315"/>
    </row>
    <row r="16" spans="1:5" ht="14.25" customHeight="1">
      <c r="A16" s="312" t="s">
        <v>646</v>
      </c>
      <c r="B16" s="313" t="s">
        <v>647</v>
      </c>
      <c r="C16" s="314">
        <v>0</v>
      </c>
      <c r="D16" s="314"/>
      <c r="E16" s="315"/>
    </row>
    <row r="17" spans="1:5" ht="14.25" customHeight="1">
      <c r="A17" s="312" t="s">
        <v>648</v>
      </c>
      <c r="B17" s="313" t="s">
        <v>649</v>
      </c>
      <c r="C17" s="314">
        <v>0</v>
      </c>
      <c r="D17" s="314"/>
      <c r="E17" s="315"/>
    </row>
    <row r="18" spans="1:5" ht="14.25" customHeight="1">
      <c r="A18" s="312" t="s">
        <v>650</v>
      </c>
      <c r="B18" s="313" t="s">
        <v>651</v>
      </c>
      <c r="C18" s="314">
        <v>0</v>
      </c>
      <c r="D18" s="314"/>
      <c r="E18" s="315"/>
    </row>
    <row r="19" spans="1:5" ht="14.25" customHeight="1">
      <c r="A19" s="312" t="s">
        <v>652</v>
      </c>
      <c r="B19" s="313" t="s">
        <v>653</v>
      </c>
      <c r="C19" s="314">
        <v>0</v>
      </c>
      <c r="D19" s="314"/>
      <c r="E19" s="315"/>
    </row>
    <row r="20" spans="1:5" ht="14.25" customHeight="1">
      <c r="A20" s="312" t="s">
        <v>654</v>
      </c>
      <c r="B20" s="313" t="s">
        <v>655</v>
      </c>
      <c r="C20" s="314">
        <v>0</v>
      </c>
      <c r="D20" s="314"/>
      <c r="E20" s="315"/>
    </row>
    <row r="21" spans="1:5" ht="14.25" customHeight="1">
      <c r="A21" s="312" t="s">
        <v>656</v>
      </c>
      <c r="B21" s="313" t="s">
        <v>657</v>
      </c>
      <c r="C21" s="314">
        <f>SUM(C22:C25)</f>
        <v>0</v>
      </c>
      <c r="D21" s="314"/>
      <c r="E21" s="315"/>
    </row>
    <row r="22" spans="1:5" s="1" customFormat="1" ht="14.25" customHeight="1">
      <c r="A22" s="318" t="s">
        <v>658</v>
      </c>
      <c r="B22" s="319" t="s">
        <v>659</v>
      </c>
      <c r="C22" s="320">
        <v>0</v>
      </c>
      <c r="D22" s="320"/>
      <c r="E22" s="321"/>
    </row>
    <row r="23" spans="1:5" s="1" customFormat="1" ht="14.25" customHeight="1">
      <c r="A23" s="318" t="s">
        <v>660</v>
      </c>
      <c r="B23" s="319" t="s">
        <v>661</v>
      </c>
      <c r="C23" s="320">
        <v>0</v>
      </c>
      <c r="D23" s="320"/>
      <c r="E23" s="321"/>
    </row>
    <row r="24" spans="1:5" s="1" customFormat="1" ht="14.25" customHeight="1">
      <c r="A24" s="322" t="s">
        <v>662</v>
      </c>
      <c r="B24" s="319" t="s">
        <v>663</v>
      </c>
      <c r="C24" s="320">
        <v>0</v>
      </c>
      <c r="D24" s="320"/>
      <c r="E24" s="321"/>
    </row>
    <row r="25" spans="1:5" s="1" customFormat="1" ht="14.25" customHeight="1">
      <c r="A25" s="322" t="s">
        <v>664</v>
      </c>
      <c r="B25" s="319" t="s">
        <v>665</v>
      </c>
      <c r="C25" s="320">
        <v>0</v>
      </c>
      <c r="D25" s="320"/>
      <c r="E25" s="321"/>
    </row>
    <row r="26" spans="1:5" ht="14.25" customHeight="1">
      <c r="A26" s="312" t="s">
        <v>666</v>
      </c>
      <c r="B26" s="313" t="s">
        <v>667</v>
      </c>
      <c r="C26" s="314">
        <f>SUM(C27:C30)</f>
        <v>0</v>
      </c>
      <c r="D26" s="314"/>
      <c r="E26" s="315"/>
    </row>
    <row r="27" spans="1:5" ht="14.25" customHeight="1">
      <c r="A27" s="323" t="s">
        <v>668</v>
      </c>
      <c r="B27" s="313" t="s">
        <v>669</v>
      </c>
      <c r="C27" s="314">
        <v>0</v>
      </c>
      <c r="D27" s="314"/>
      <c r="E27" s="315"/>
    </row>
    <row r="28" spans="1:5" ht="14.25" customHeight="1">
      <c r="A28" s="323" t="s">
        <v>670</v>
      </c>
      <c r="B28" s="313" t="s">
        <v>671</v>
      </c>
      <c r="C28" s="314">
        <v>0</v>
      </c>
      <c r="D28" s="314"/>
      <c r="E28" s="315"/>
    </row>
    <row r="29" spans="1:5" ht="14.25" customHeight="1">
      <c r="A29" s="323" t="s">
        <v>672</v>
      </c>
      <c r="B29" s="313" t="s">
        <v>673</v>
      </c>
      <c r="C29" s="314">
        <v>0</v>
      </c>
      <c r="D29" s="314"/>
      <c r="E29" s="315"/>
    </row>
    <row r="30" spans="1:5" ht="14.25" customHeight="1">
      <c r="A30" s="323" t="s">
        <v>674</v>
      </c>
      <c r="B30" s="313" t="s">
        <v>675</v>
      </c>
      <c r="C30" s="314">
        <v>0</v>
      </c>
      <c r="D30" s="314"/>
      <c r="E30" s="315"/>
    </row>
    <row r="31" spans="1:5" ht="14.25" customHeight="1">
      <c r="A31" s="312" t="s">
        <v>676</v>
      </c>
      <c r="B31" s="313" t="s">
        <v>677</v>
      </c>
      <c r="C31" s="314">
        <f>SUM(C32:C33)</f>
        <v>0</v>
      </c>
      <c r="D31" s="314"/>
      <c r="E31" s="315"/>
    </row>
    <row r="32" spans="1:5" ht="14.25" customHeight="1">
      <c r="A32" s="323" t="s">
        <v>678</v>
      </c>
      <c r="B32" s="313" t="s">
        <v>679</v>
      </c>
      <c r="C32" s="314">
        <v>0</v>
      </c>
      <c r="D32" s="314"/>
      <c r="E32" s="315"/>
    </row>
    <row r="33" spans="1:5" ht="14.25" customHeight="1">
      <c r="A33" s="323" t="s">
        <v>680</v>
      </c>
      <c r="B33" s="313" t="s">
        <v>681</v>
      </c>
      <c r="C33" s="314">
        <v>0</v>
      </c>
      <c r="D33" s="314"/>
      <c r="E33" s="315"/>
    </row>
    <row r="34" spans="1:5" ht="14.25" customHeight="1">
      <c r="A34" s="312" t="s">
        <v>682</v>
      </c>
      <c r="B34" s="313" t="s">
        <v>683</v>
      </c>
      <c r="C34" s="314">
        <f>SUM(C35:C38)</f>
        <v>0</v>
      </c>
      <c r="D34" s="314"/>
      <c r="E34" s="315"/>
    </row>
    <row r="35" spans="1:5" ht="14.25" customHeight="1">
      <c r="A35" s="323" t="s">
        <v>684</v>
      </c>
      <c r="B35" s="313" t="s">
        <v>685</v>
      </c>
      <c r="C35" s="314">
        <v>0</v>
      </c>
      <c r="D35" s="314"/>
      <c r="E35" s="315"/>
    </row>
    <row r="36" spans="1:5" ht="14.25" customHeight="1">
      <c r="A36" s="323" t="s">
        <v>686</v>
      </c>
      <c r="B36" s="313" t="s">
        <v>687</v>
      </c>
      <c r="C36" s="314">
        <v>0</v>
      </c>
      <c r="D36" s="314"/>
      <c r="E36" s="315"/>
    </row>
    <row r="37" spans="1:5" ht="14.25" customHeight="1">
      <c r="A37" s="323" t="s">
        <v>688</v>
      </c>
      <c r="B37" s="313" t="s">
        <v>689</v>
      </c>
      <c r="C37" s="314">
        <v>0</v>
      </c>
      <c r="D37" s="314"/>
      <c r="E37" s="315"/>
    </row>
    <row r="38" spans="1:5" ht="14.25" customHeight="1">
      <c r="A38" s="323" t="s">
        <v>690</v>
      </c>
      <c r="B38" s="313" t="s">
        <v>691</v>
      </c>
      <c r="C38" s="314">
        <v>0</v>
      </c>
      <c r="D38" s="314"/>
      <c r="E38" s="315"/>
    </row>
    <row r="39" spans="1:5" ht="14.25" customHeight="1">
      <c r="A39" s="312" t="s">
        <v>692</v>
      </c>
      <c r="B39" s="313" t="s">
        <v>693</v>
      </c>
      <c r="C39" s="314">
        <f>SUM(C40:C41)</f>
        <v>0</v>
      </c>
      <c r="D39" s="314"/>
      <c r="E39" s="315"/>
    </row>
    <row r="40" spans="1:5" ht="14.25" customHeight="1">
      <c r="A40" s="323" t="s">
        <v>694</v>
      </c>
      <c r="B40" s="313" t="s">
        <v>695</v>
      </c>
      <c r="C40" s="314">
        <v>0</v>
      </c>
      <c r="D40" s="314"/>
      <c r="E40" s="315"/>
    </row>
    <row r="41" spans="1:5" ht="14.25" customHeight="1">
      <c r="A41" s="323" t="s">
        <v>696</v>
      </c>
      <c r="B41" s="313" t="s">
        <v>697</v>
      </c>
      <c r="C41" s="314">
        <v>0</v>
      </c>
      <c r="D41" s="314"/>
      <c r="E41" s="315"/>
    </row>
    <row r="42" spans="1:5" ht="14.25" customHeight="1">
      <c r="A42" s="312" t="s">
        <v>698</v>
      </c>
      <c r="B42" s="313" t="s">
        <v>218</v>
      </c>
      <c r="C42" s="314">
        <v>0</v>
      </c>
      <c r="D42" s="314"/>
      <c r="E42" s="315"/>
    </row>
    <row r="43" spans="1:5" ht="14.25" customHeight="1">
      <c r="A43" s="312" t="s">
        <v>699</v>
      </c>
      <c r="B43" s="313" t="s">
        <v>700</v>
      </c>
      <c r="C43" s="314">
        <v>0</v>
      </c>
      <c r="D43" s="314"/>
      <c r="E43" s="315"/>
    </row>
    <row r="44" spans="1:5" ht="14.25" customHeight="1">
      <c r="A44" s="312" t="s">
        <v>701</v>
      </c>
      <c r="B44" s="313" t="s">
        <v>702</v>
      </c>
      <c r="C44" s="314">
        <f>SUM(C45:C47)</f>
        <v>0</v>
      </c>
      <c r="D44" s="314"/>
      <c r="E44" s="315"/>
    </row>
    <row r="45" spans="1:5" ht="14.25" customHeight="1">
      <c r="A45" s="312" t="s">
        <v>308</v>
      </c>
      <c r="B45" s="313" t="s">
        <v>703</v>
      </c>
      <c r="C45" s="314">
        <v>0</v>
      </c>
      <c r="D45" s="314"/>
      <c r="E45" s="315"/>
    </row>
    <row r="46" spans="1:5" ht="14.25" customHeight="1">
      <c r="A46" s="312" t="s">
        <v>309</v>
      </c>
      <c r="B46" s="313" t="s">
        <v>704</v>
      </c>
      <c r="C46" s="314">
        <v>0</v>
      </c>
      <c r="D46" s="314"/>
      <c r="E46" s="315"/>
    </row>
    <row r="47" spans="1:5" ht="14.25" customHeight="1">
      <c r="A47" s="312" t="s">
        <v>705</v>
      </c>
      <c r="B47" s="313" t="s">
        <v>706</v>
      </c>
      <c r="C47" s="314">
        <f>SUM(C48)</f>
        <v>0</v>
      </c>
      <c r="D47" s="314"/>
      <c r="E47" s="315"/>
    </row>
    <row r="48" spans="1:5" ht="14.25" customHeight="1">
      <c r="A48" s="323" t="s">
        <v>311</v>
      </c>
      <c r="B48" s="313" t="s">
        <v>707</v>
      </c>
      <c r="C48" s="314">
        <v>0</v>
      </c>
      <c r="D48" s="314"/>
      <c r="E48" s="315"/>
    </row>
    <row r="49" spans="1:5" ht="14.25" customHeight="1">
      <c r="A49" s="312" t="s">
        <v>708</v>
      </c>
      <c r="B49" s="313" t="s">
        <v>709</v>
      </c>
      <c r="C49" s="314">
        <f>SUM(C50,C54,C97)</f>
        <v>0</v>
      </c>
      <c r="D49" s="314">
        <f>SUM(D50,D54,D97)</f>
        <v>0</v>
      </c>
      <c r="E49" s="315">
        <f t="shared" ref="E49:E80" si="0">C49+D49</f>
        <v>0</v>
      </c>
    </row>
    <row r="50" spans="1:5" ht="14.25" customHeight="1">
      <c r="A50" s="312" t="s">
        <v>315</v>
      </c>
      <c r="B50" s="313" t="s">
        <v>220</v>
      </c>
      <c r="C50" s="314">
        <f>SUM(C51:C53)</f>
        <v>0</v>
      </c>
      <c r="D50" s="314">
        <f>SUM(D51:D53)</f>
        <v>0</v>
      </c>
      <c r="E50" s="315">
        <f t="shared" si="0"/>
        <v>0</v>
      </c>
    </row>
    <row r="51" spans="1:5" ht="14.25" customHeight="1">
      <c r="A51" s="323" t="s">
        <v>710</v>
      </c>
      <c r="B51" s="313" t="s">
        <v>711</v>
      </c>
      <c r="C51" s="314">
        <v>0</v>
      </c>
      <c r="D51" s="314">
        <v>0</v>
      </c>
      <c r="E51" s="315">
        <f t="shared" si="0"/>
        <v>0</v>
      </c>
    </row>
    <row r="52" spans="1:5" ht="14.25" customHeight="1">
      <c r="A52" s="323" t="s">
        <v>712</v>
      </c>
      <c r="B52" s="313" t="s">
        <v>713</v>
      </c>
      <c r="C52" s="314">
        <v>0</v>
      </c>
      <c r="D52" s="314">
        <v>0</v>
      </c>
      <c r="E52" s="315">
        <f t="shared" si="0"/>
        <v>0</v>
      </c>
    </row>
    <row r="53" spans="1:5" ht="14.25" customHeight="1">
      <c r="A53" s="323" t="s">
        <v>714</v>
      </c>
      <c r="B53" s="313" t="s">
        <v>715</v>
      </c>
      <c r="C53" s="314">
        <v>0</v>
      </c>
      <c r="D53" s="314">
        <v>0</v>
      </c>
      <c r="E53" s="315">
        <f t="shared" si="0"/>
        <v>0</v>
      </c>
    </row>
    <row r="54" spans="1:5" ht="14.25" customHeight="1">
      <c r="A54" s="312" t="s">
        <v>316</v>
      </c>
      <c r="B54" s="313" t="s">
        <v>716</v>
      </c>
      <c r="C54" s="314">
        <f>SUM(C55,C79)</f>
        <v>0</v>
      </c>
      <c r="D54" s="314">
        <f>SUM(D55,D79)</f>
        <v>0</v>
      </c>
      <c r="E54" s="315">
        <f t="shared" si="0"/>
        <v>0</v>
      </c>
    </row>
    <row r="55" spans="1:5" ht="14.25" customHeight="1">
      <c r="A55" s="323" t="s">
        <v>717</v>
      </c>
      <c r="B55" s="313" t="s">
        <v>718</v>
      </c>
      <c r="C55" s="314">
        <v>0</v>
      </c>
      <c r="D55" s="314">
        <f>SUM(D56:D78)</f>
        <v>0</v>
      </c>
      <c r="E55" s="315">
        <f t="shared" si="0"/>
        <v>0</v>
      </c>
    </row>
    <row r="56" spans="1:5" ht="14.25" customHeight="1">
      <c r="A56" s="323" t="s">
        <v>719</v>
      </c>
      <c r="B56" s="313" t="s">
        <v>720</v>
      </c>
      <c r="C56" s="314">
        <v>0</v>
      </c>
      <c r="D56" s="314">
        <v>0</v>
      </c>
      <c r="E56" s="315">
        <f t="shared" si="0"/>
        <v>0</v>
      </c>
    </row>
    <row r="57" spans="1:5" ht="14.25" customHeight="1">
      <c r="A57" s="323" t="s">
        <v>721</v>
      </c>
      <c r="B57" s="313" t="s">
        <v>722</v>
      </c>
      <c r="C57" s="314">
        <v>0</v>
      </c>
      <c r="D57" s="314">
        <v>0</v>
      </c>
      <c r="E57" s="315">
        <f t="shared" si="0"/>
        <v>0</v>
      </c>
    </row>
    <row r="58" spans="1:5" ht="14.25" customHeight="1">
      <c r="A58" s="323" t="s">
        <v>723</v>
      </c>
      <c r="B58" s="313" t="s">
        <v>724</v>
      </c>
      <c r="C58" s="314">
        <v>0</v>
      </c>
      <c r="D58" s="314">
        <v>0</v>
      </c>
      <c r="E58" s="315">
        <f t="shared" si="0"/>
        <v>0</v>
      </c>
    </row>
    <row r="59" spans="1:5" ht="14.25" customHeight="1">
      <c r="A59" s="323" t="s">
        <v>725</v>
      </c>
      <c r="B59" s="313" t="s">
        <v>726</v>
      </c>
      <c r="C59" s="314">
        <v>0</v>
      </c>
      <c r="D59" s="314">
        <v>0</v>
      </c>
      <c r="E59" s="315">
        <f t="shared" si="0"/>
        <v>0</v>
      </c>
    </row>
    <row r="60" spans="1:5" ht="14.25" customHeight="1">
      <c r="A60" s="323" t="s">
        <v>727</v>
      </c>
      <c r="B60" s="313" t="s">
        <v>728</v>
      </c>
      <c r="C60" s="314">
        <v>0</v>
      </c>
      <c r="D60" s="314">
        <v>0</v>
      </c>
      <c r="E60" s="315">
        <f t="shared" si="0"/>
        <v>0</v>
      </c>
    </row>
    <row r="61" spans="1:5" ht="14.25" customHeight="1">
      <c r="A61" s="323" t="s">
        <v>729</v>
      </c>
      <c r="B61" s="313" t="s">
        <v>730</v>
      </c>
      <c r="C61" s="314">
        <v>0</v>
      </c>
      <c r="D61" s="314">
        <v>0</v>
      </c>
      <c r="E61" s="315">
        <f t="shared" si="0"/>
        <v>0</v>
      </c>
    </row>
    <row r="62" spans="1:5" ht="14.25" customHeight="1">
      <c r="A62" s="323" t="s">
        <v>731</v>
      </c>
      <c r="B62" s="313" t="s">
        <v>500</v>
      </c>
      <c r="C62" s="314">
        <v>0</v>
      </c>
      <c r="D62" s="314">
        <v>0</v>
      </c>
      <c r="E62" s="315">
        <f t="shared" si="0"/>
        <v>0</v>
      </c>
    </row>
    <row r="63" spans="1:5" ht="14.25" customHeight="1">
      <c r="A63" s="323" t="s">
        <v>732</v>
      </c>
      <c r="B63" s="313" t="s">
        <v>503</v>
      </c>
      <c r="C63" s="314">
        <v>0</v>
      </c>
      <c r="D63" s="314">
        <v>0</v>
      </c>
      <c r="E63" s="315">
        <f t="shared" si="0"/>
        <v>0</v>
      </c>
    </row>
    <row r="64" spans="1:5" ht="14.25" customHeight="1">
      <c r="A64" s="323" t="s">
        <v>733</v>
      </c>
      <c r="B64" s="313" t="s">
        <v>506</v>
      </c>
      <c r="C64" s="314">
        <v>0</v>
      </c>
      <c r="D64" s="314">
        <v>0</v>
      </c>
      <c r="E64" s="315">
        <f t="shared" si="0"/>
        <v>0</v>
      </c>
    </row>
    <row r="65" spans="1:5" ht="14.25" customHeight="1">
      <c r="A65" s="323" t="s">
        <v>734</v>
      </c>
      <c r="B65" s="313" t="s">
        <v>509</v>
      </c>
      <c r="C65" s="314">
        <v>0</v>
      </c>
      <c r="D65" s="314">
        <v>0</v>
      </c>
      <c r="E65" s="315">
        <f t="shared" si="0"/>
        <v>0</v>
      </c>
    </row>
    <row r="66" spans="1:5" ht="14.25" customHeight="1">
      <c r="A66" s="323" t="s">
        <v>735</v>
      </c>
      <c r="B66" s="313" t="s">
        <v>512</v>
      </c>
      <c r="C66" s="314">
        <v>0</v>
      </c>
      <c r="D66" s="314">
        <v>0</v>
      </c>
      <c r="E66" s="315">
        <f t="shared" si="0"/>
        <v>0</v>
      </c>
    </row>
    <row r="67" spans="1:5" ht="14.25" customHeight="1">
      <c r="A67" s="323" t="s">
        <v>736</v>
      </c>
      <c r="B67" s="313" t="s">
        <v>515</v>
      </c>
      <c r="C67" s="314">
        <v>0</v>
      </c>
      <c r="D67" s="314">
        <v>0</v>
      </c>
      <c r="E67" s="315">
        <f t="shared" si="0"/>
        <v>0</v>
      </c>
    </row>
    <row r="68" spans="1:5" ht="14.25" customHeight="1">
      <c r="A68" s="323" t="s">
        <v>737</v>
      </c>
      <c r="B68" s="313" t="s">
        <v>518</v>
      </c>
      <c r="C68" s="314">
        <v>0</v>
      </c>
      <c r="D68" s="314">
        <v>0</v>
      </c>
      <c r="E68" s="315">
        <f t="shared" si="0"/>
        <v>0</v>
      </c>
    </row>
    <row r="69" spans="1:5" ht="14.25" customHeight="1">
      <c r="A69" s="323" t="s">
        <v>738</v>
      </c>
      <c r="B69" s="313" t="s">
        <v>552</v>
      </c>
      <c r="C69" s="314">
        <v>0</v>
      </c>
      <c r="D69" s="314">
        <v>0</v>
      </c>
      <c r="E69" s="315">
        <f t="shared" si="0"/>
        <v>0</v>
      </c>
    </row>
    <row r="70" spans="1:5" ht="14.25" customHeight="1">
      <c r="A70" s="323" t="s">
        <v>739</v>
      </c>
      <c r="B70" s="313" t="s">
        <v>521</v>
      </c>
      <c r="C70" s="314">
        <v>0</v>
      </c>
      <c r="D70" s="314">
        <v>0</v>
      </c>
      <c r="E70" s="315">
        <f t="shared" si="0"/>
        <v>0</v>
      </c>
    </row>
    <row r="71" spans="1:5" ht="14.25" customHeight="1">
      <c r="A71" s="323" t="s">
        <v>740</v>
      </c>
      <c r="B71" s="313" t="s">
        <v>524</v>
      </c>
      <c r="C71" s="314">
        <v>0</v>
      </c>
      <c r="D71" s="314">
        <v>0</v>
      </c>
      <c r="E71" s="315">
        <f t="shared" si="0"/>
        <v>0</v>
      </c>
    </row>
    <row r="72" spans="1:5" ht="14.25" customHeight="1">
      <c r="A72" s="323" t="s">
        <v>741</v>
      </c>
      <c r="B72" s="313" t="s">
        <v>527</v>
      </c>
      <c r="C72" s="314">
        <v>0</v>
      </c>
      <c r="D72" s="314">
        <v>0</v>
      </c>
      <c r="E72" s="315">
        <f t="shared" si="0"/>
        <v>0</v>
      </c>
    </row>
    <row r="73" spans="1:5" ht="14.25" customHeight="1">
      <c r="A73" s="323" t="s">
        <v>742</v>
      </c>
      <c r="B73" s="313" t="s">
        <v>530</v>
      </c>
      <c r="C73" s="314">
        <v>0</v>
      </c>
      <c r="D73" s="314">
        <v>0</v>
      </c>
      <c r="E73" s="315">
        <f t="shared" si="0"/>
        <v>0</v>
      </c>
    </row>
    <row r="74" spans="1:5" ht="14.25" customHeight="1">
      <c r="A74" s="323" t="s">
        <v>743</v>
      </c>
      <c r="B74" s="313" t="s">
        <v>533</v>
      </c>
      <c r="C74" s="314">
        <v>0</v>
      </c>
      <c r="D74" s="314">
        <v>0</v>
      </c>
      <c r="E74" s="315">
        <f t="shared" si="0"/>
        <v>0</v>
      </c>
    </row>
    <row r="75" spans="1:5" ht="14.25" customHeight="1">
      <c r="A75" s="323" t="s">
        <v>744</v>
      </c>
      <c r="B75" s="313" t="s">
        <v>536</v>
      </c>
      <c r="C75" s="314">
        <v>0</v>
      </c>
      <c r="D75" s="314">
        <v>0</v>
      </c>
      <c r="E75" s="315">
        <f t="shared" si="0"/>
        <v>0</v>
      </c>
    </row>
    <row r="76" spans="1:5" ht="14.25" customHeight="1">
      <c r="A76" s="323" t="s">
        <v>745</v>
      </c>
      <c r="B76" s="313" t="s">
        <v>539</v>
      </c>
      <c r="C76" s="314">
        <v>0</v>
      </c>
      <c r="D76" s="314">
        <v>0</v>
      </c>
      <c r="E76" s="315">
        <f t="shared" si="0"/>
        <v>0</v>
      </c>
    </row>
    <row r="77" spans="1:5" ht="14.25" customHeight="1">
      <c r="A77" s="323" t="s">
        <v>746</v>
      </c>
      <c r="B77" s="313" t="s">
        <v>542</v>
      </c>
      <c r="C77" s="314">
        <v>0</v>
      </c>
      <c r="D77" s="314">
        <v>0</v>
      </c>
      <c r="E77" s="315">
        <f t="shared" si="0"/>
        <v>0</v>
      </c>
    </row>
    <row r="78" spans="1:5" ht="14.25" customHeight="1">
      <c r="A78" s="323" t="s">
        <v>747</v>
      </c>
      <c r="B78" s="313" t="s">
        <v>497</v>
      </c>
      <c r="C78" s="314">
        <v>0</v>
      </c>
      <c r="D78" s="314">
        <v>0</v>
      </c>
      <c r="E78" s="315">
        <f t="shared" si="0"/>
        <v>0</v>
      </c>
    </row>
    <row r="79" spans="1:5" ht="14.25" customHeight="1">
      <c r="A79" s="323" t="s">
        <v>748</v>
      </c>
      <c r="B79" s="313" t="s">
        <v>749</v>
      </c>
      <c r="C79" s="314">
        <f>SUM(C80:C96)</f>
        <v>0</v>
      </c>
      <c r="D79" s="314">
        <f>SUM(D80:D96)</f>
        <v>0</v>
      </c>
      <c r="E79" s="315">
        <f t="shared" si="0"/>
        <v>0</v>
      </c>
    </row>
    <row r="80" spans="1:5" ht="14.25" customHeight="1">
      <c r="A80" s="323" t="s">
        <v>750</v>
      </c>
      <c r="B80" s="313" t="s">
        <v>751</v>
      </c>
      <c r="C80" s="314">
        <v>0</v>
      </c>
      <c r="D80" s="314">
        <v>0</v>
      </c>
      <c r="E80" s="315">
        <f t="shared" si="0"/>
        <v>0</v>
      </c>
    </row>
    <row r="81" spans="1:5" ht="14.25" customHeight="1">
      <c r="A81" s="323" t="s">
        <v>752</v>
      </c>
      <c r="B81" s="313" t="s">
        <v>753</v>
      </c>
      <c r="C81" s="314">
        <v>0</v>
      </c>
      <c r="D81" s="314">
        <v>0</v>
      </c>
      <c r="E81" s="315">
        <f t="shared" ref="E81:E112" si="1">C81+D81</f>
        <v>0</v>
      </c>
    </row>
    <row r="82" spans="1:5" ht="14.25" customHeight="1">
      <c r="A82" s="323" t="s">
        <v>754</v>
      </c>
      <c r="B82" s="313" t="s">
        <v>755</v>
      </c>
      <c r="C82" s="314">
        <v>0</v>
      </c>
      <c r="D82" s="314">
        <v>0</v>
      </c>
      <c r="E82" s="315">
        <f t="shared" si="1"/>
        <v>0</v>
      </c>
    </row>
    <row r="83" spans="1:5" ht="14.25" customHeight="1">
      <c r="A83" s="323" t="s">
        <v>756</v>
      </c>
      <c r="B83" s="313" t="s">
        <v>757</v>
      </c>
      <c r="C83" s="314">
        <v>0</v>
      </c>
      <c r="D83" s="314">
        <v>0</v>
      </c>
      <c r="E83" s="315">
        <f t="shared" si="1"/>
        <v>0</v>
      </c>
    </row>
    <row r="84" spans="1:5" ht="14.25" customHeight="1">
      <c r="A84" s="323" t="s">
        <v>758</v>
      </c>
      <c r="B84" s="313" t="s">
        <v>759</v>
      </c>
      <c r="C84" s="314">
        <v>0</v>
      </c>
      <c r="D84" s="314">
        <v>0</v>
      </c>
      <c r="E84" s="315">
        <f t="shared" si="1"/>
        <v>0</v>
      </c>
    </row>
    <row r="85" spans="1:5" ht="14.25" customHeight="1">
      <c r="A85" s="323" t="s">
        <v>760</v>
      </c>
      <c r="B85" s="313" t="s">
        <v>761</v>
      </c>
      <c r="C85" s="314">
        <v>0</v>
      </c>
      <c r="D85" s="314">
        <v>0</v>
      </c>
      <c r="E85" s="315">
        <f t="shared" si="1"/>
        <v>0</v>
      </c>
    </row>
    <row r="86" spans="1:5" ht="14.25" customHeight="1">
      <c r="A86" s="323" t="s">
        <v>762</v>
      </c>
      <c r="B86" s="313" t="s">
        <v>763</v>
      </c>
      <c r="C86" s="314">
        <v>0</v>
      </c>
      <c r="D86" s="314">
        <v>0</v>
      </c>
      <c r="E86" s="315">
        <f t="shared" si="1"/>
        <v>0</v>
      </c>
    </row>
    <row r="87" spans="1:5" ht="14.25" customHeight="1">
      <c r="A87" s="323" t="s">
        <v>764</v>
      </c>
      <c r="B87" s="313" t="s">
        <v>765</v>
      </c>
      <c r="C87" s="314">
        <v>0</v>
      </c>
      <c r="D87" s="314">
        <v>0</v>
      </c>
      <c r="E87" s="315">
        <f t="shared" si="1"/>
        <v>0</v>
      </c>
    </row>
    <row r="88" spans="1:5" ht="14.25" customHeight="1">
      <c r="A88" s="323" t="s">
        <v>766</v>
      </c>
      <c r="B88" s="313" t="s">
        <v>767</v>
      </c>
      <c r="C88" s="314">
        <v>0</v>
      </c>
      <c r="D88" s="314">
        <v>0</v>
      </c>
      <c r="E88" s="315">
        <f t="shared" si="1"/>
        <v>0</v>
      </c>
    </row>
    <row r="89" spans="1:5" ht="14.25" customHeight="1">
      <c r="A89" s="323" t="s">
        <v>768</v>
      </c>
      <c r="B89" s="313" t="s">
        <v>769</v>
      </c>
      <c r="C89" s="314">
        <v>0</v>
      </c>
      <c r="D89" s="314">
        <v>0</v>
      </c>
      <c r="E89" s="315">
        <f t="shared" si="1"/>
        <v>0</v>
      </c>
    </row>
    <row r="90" spans="1:5" ht="14.25" customHeight="1">
      <c r="A90" s="323" t="s">
        <v>770</v>
      </c>
      <c r="B90" s="313" t="s">
        <v>771</v>
      </c>
      <c r="C90" s="314">
        <v>0</v>
      </c>
      <c r="D90" s="314">
        <v>0</v>
      </c>
      <c r="E90" s="315">
        <f t="shared" si="1"/>
        <v>0</v>
      </c>
    </row>
    <row r="91" spans="1:5" ht="14.25" customHeight="1">
      <c r="A91" s="323" t="s">
        <v>772</v>
      </c>
      <c r="B91" s="313" t="s">
        <v>773</v>
      </c>
      <c r="C91" s="314">
        <v>0</v>
      </c>
      <c r="D91" s="314">
        <v>0</v>
      </c>
      <c r="E91" s="315">
        <f t="shared" si="1"/>
        <v>0</v>
      </c>
    </row>
    <row r="92" spans="1:5" ht="14.25" customHeight="1">
      <c r="A92" s="323" t="s">
        <v>774</v>
      </c>
      <c r="B92" s="313" t="s">
        <v>775</v>
      </c>
      <c r="C92" s="314">
        <v>0</v>
      </c>
      <c r="D92" s="314">
        <v>0</v>
      </c>
      <c r="E92" s="315">
        <f t="shared" si="1"/>
        <v>0</v>
      </c>
    </row>
    <row r="93" spans="1:5" ht="14.25" customHeight="1">
      <c r="A93" s="323" t="s">
        <v>776</v>
      </c>
      <c r="B93" s="313" t="s">
        <v>777</v>
      </c>
      <c r="C93" s="314">
        <v>0</v>
      </c>
      <c r="D93" s="314">
        <v>0</v>
      </c>
      <c r="E93" s="315">
        <f t="shared" si="1"/>
        <v>0</v>
      </c>
    </row>
    <row r="94" spans="1:5" ht="14.25" customHeight="1">
      <c r="A94" s="323" t="s">
        <v>778</v>
      </c>
      <c r="B94" s="313" t="s">
        <v>779</v>
      </c>
      <c r="C94" s="314">
        <v>0</v>
      </c>
      <c r="D94" s="314">
        <v>0</v>
      </c>
      <c r="E94" s="315">
        <f t="shared" si="1"/>
        <v>0</v>
      </c>
    </row>
    <row r="95" spans="1:5" ht="14.25" customHeight="1">
      <c r="A95" s="323" t="s">
        <v>780</v>
      </c>
      <c r="B95" s="313" t="s">
        <v>781</v>
      </c>
      <c r="C95" s="314">
        <v>0</v>
      </c>
      <c r="D95" s="314">
        <v>0</v>
      </c>
      <c r="E95" s="315">
        <f t="shared" si="1"/>
        <v>0</v>
      </c>
    </row>
    <row r="96" spans="1:5" ht="14.25" customHeight="1">
      <c r="A96" s="323" t="s">
        <v>782</v>
      </c>
      <c r="B96" s="313" t="s">
        <v>275</v>
      </c>
      <c r="C96" s="314">
        <v>0</v>
      </c>
      <c r="D96" s="314">
        <v>0</v>
      </c>
      <c r="E96" s="315">
        <f t="shared" si="1"/>
        <v>0</v>
      </c>
    </row>
    <row r="97" spans="1:5" ht="14.25" customHeight="1">
      <c r="A97" s="312" t="s">
        <v>783</v>
      </c>
      <c r="B97" s="313" t="s">
        <v>784</v>
      </c>
      <c r="C97" s="314">
        <f>SUM(C98:C111)</f>
        <v>0</v>
      </c>
      <c r="D97" s="314">
        <f>SUM(D98:D111)</f>
        <v>0</v>
      </c>
      <c r="E97" s="315">
        <f t="shared" si="1"/>
        <v>0</v>
      </c>
    </row>
    <row r="98" spans="1:5" ht="14.25" customHeight="1">
      <c r="A98" s="323" t="s">
        <v>785</v>
      </c>
      <c r="B98" s="313" t="s">
        <v>786</v>
      </c>
      <c r="C98" s="314">
        <v>0</v>
      </c>
      <c r="D98" s="314">
        <v>0</v>
      </c>
      <c r="E98" s="315">
        <f t="shared" si="1"/>
        <v>0</v>
      </c>
    </row>
    <row r="99" spans="1:5" ht="14.25" customHeight="1">
      <c r="A99" s="323" t="s">
        <v>787</v>
      </c>
      <c r="B99" s="313" t="s">
        <v>547</v>
      </c>
      <c r="C99" s="314">
        <v>0</v>
      </c>
      <c r="D99" s="314">
        <v>0</v>
      </c>
      <c r="E99" s="315">
        <f t="shared" si="1"/>
        <v>0</v>
      </c>
    </row>
    <row r="100" spans="1:5" ht="14.25" customHeight="1">
      <c r="A100" s="323" t="s">
        <v>788</v>
      </c>
      <c r="B100" s="313" t="s">
        <v>789</v>
      </c>
      <c r="C100" s="314">
        <v>0</v>
      </c>
      <c r="D100" s="314">
        <v>0</v>
      </c>
      <c r="E100" s="315">
        <f t="shared" si="1"/>
        <v>0</v>
      </c>
    </row>
    <row r="101" spans="1:5" ht="14.25" customHeight="1">
      <c r="A101" s="323" t="s">
        <v>790</v>
      </c>
      <c r="B101" s="313" t="s">
        <v>791</v>
      </c>
      <c r="C101" s="314">
        <v>0</v>
      </c>
      <c r="D101" s="314">
        <v>0</v>
      </c>
      <c r="E101" s="315">
        <f t="shared" si="1"/>
        <v>0</v>
      </c>
    </row>
    <row r="102" spans="1:5" ht="14.25" customHeight="1">
      <c r="A102" s="323" t="s">
        <v>792</v>
      </c>
      <c r="B102" s="313" t="s">
        <v>793</v>
      </c>
      <c r="C102" s="314">
        <v>0</v>
      </c>
      <c r="D102" s="314">
        <v>0</v>
      </c>
      <c r="E102" s="315">
        <f t="shared" si="1"/>
        <v>0</v>
      </c>
    </row>
    <row r="103" spans="1:5" ht="14.25" customHeight="1">
      <c r="A103" s="323" t="s">
        <v>794</v>
      </c>
      <c r="B103" s="313" t="s">
        <v>795</v>
      </c>
      <c r="C103" s="314">
        <v>0</v>
      </c>
      <c r="D103" s="314">
        <v>0</v>
      </c>
      <c r="E103" s="315">
        <f t="shared" si="1"/>
        <v>0</v>
      </c>
    </row>
    <row r="104" spans="1:5" ht="14.25" customHeight="1">
      <c r="A104" s="323" t="s">
        <v>796</v>
      </c>
      <c r="B104" s="313" t="s">
        <v>797</v>
      </c>
      <c r="C104" s="314">
        <v>0</v>
      </c>
      <c r="D104" s="314">
        <v>0</v>
      </c>
      <c r="E104" s="315">
        <f t="shared" si="1"/>
        <v>0</v>
      </c>
    </row>
    <row r="105" spans="1:5" ht="14.25" customHeight="1">
      <c r="A105" s="323" t="s">
        <v>798</v>
      </c>
      <c r="B105" s="313" t="s">
        <v>576</v>
      </c>
      <c r="C105" s="314">
        <v>0</v>
      </c>
      <c r="D105" s="314">
        <v>0</v>
      </c>
      <c r="E105" s="315">
        <f t="shared" si="1"/>
        <v>0</v>
      </c>
    </row>
    <row r="106" spans="1:5" ht="14.25" customHeight="1">
      <c r="A106" s="323" t="s">
        <v>799</v>
      </c>
      <c r="B106" s="313" t="s">
        <v>800</v>
      </c>
      <c r="C106" s="314">
        <v>0</v>
      </c>
      <c r="D106" s="314">
        <v>0</v>
      </c>
      <c r="E106" s="315">
        <f t="shared" si="1"/>
        <v>0</v>
      </c>
    </row>
    <row r="107" spans="1:5" ht="14.25" customHeight="1">
      <c r="A107" s="323" t="s">
        <v>801</v>
      </c>
      <c r="B107" s="313" t="s">
        <v>802</v>
      </c>
      <c r="C107" s="314">
        <v>0</v>
      </c>
      <c r="D107" s="314">
        <v>0</v>
      </c>
      <c r="E107" s="315">
        <f t="shared" si="1"/>
        <v>0</v>
      </c>
    </row>
    <row r="108" spans="1:5" ht="14.25" customHeight="1">
      <c r="A108" s="323" t="s">
        <v>803</v>
      </c>
      <c r="B108" s="313" t="s">
        <v>683</v>
      </c>
      <c r="C108" s="314">
        <v>0</v>
      </c>
      <c r="D108" s="314">
        <v>0</v>
      </c>
      <c r="E108" s="315">
        <f t="shared" si="1"/>
        <v>0</v>
      </c>
    </row>
    <row r="109" spans="1:5" ht="14.25" customHeight="1">
      <c r="A109" s="323" t="s">
        <v>804</v>
      </c>
      <c r="B109" s="313" t="s">
        <v>805</v>
      </c>
      <c r="C109" s="314">
        <v>0</v>
      </c>
      <c r="D109" s="314">
        <v>0</v>
      </c>
      <c r="E109" s="315">
        <f t="shared" si="1"/>
        <v>0</v>
      </c>
    </row>
    <row r="110" spans="1:5" ht="14.25" customHeight="1">
      <c r="A110" s="323" t="s">
        <v>806</v>
      </c>
      <c r="B110" s="313" t="s">
        <v>807</v>
      </c>
      <c r="C110" s="314">
        <v>0</v>
      </c>
      <c r="D110" s="314">
        <v>0</v>
      </c>
      <c r="E110" s="315">
        <f t="shared" si="1"/>
        <v>0</v>
      </c>
    </row>
    <row r="111" spans="1:5" ht="14.25" customHeight="1">
      <c r="A111" s="323" t="s">
        <v>808</v>
      </c>
      <c r="B111" s="313" t="s">
        <v>784</v>
      </c>
      <c r="C111" s="314">
        <v>0</v>
      </c>
      <c r="D111" s="314">
        <v>0</v>
      </c>
      <c r="E111" s="315">
        <f t="shared" si="1"/>
        <v>0</v>
      </c>
    </row>
    <row r="112" spans="1:5" ht="14.25" customHeight="1">
      <c r="A112" s="312" t="s">
        <v>809</v>
      </c>
      <c r="B112" s="313" t="s">
        <v>810</v>
      </c>
      <c r="C112" s="314">
        <v>0</v>
      </c>
      <c r="D112" s="314"/>
      <c r="E112" s="315"/>
    </row>
    <row r="113" spans="1:5" ht="14.25" customHeight="1">
      <c r="A113" s="312" t="s">
        <v>811</v>
      </c>
      <c r="B113" s="313" t="s">
        <v>812</v>
      </c>
      <c r="C113" s="324">
        <v>0.03</v>
      </c>
      <c r="D113" s="325"/>
      <c r="E113" s="4"/>
    </row>
    <row r="114" spans="1:5" ht="14.25" customHeight="1">
      <c r="A114" s="312" t="s">
        <v>813</v>
      </c>
      <c r="B114" s="313" t="s">
        <v>814</v>
      </c>
      <c r="C114" s="314">
        <v>0</v>
      </c>
      <c r="D114" s="325"/>
      <c r="E114" s="4"/>
    </row>
    <row r="115" spans="1:5" ht="14.25" customHeight="1">
      <c r="A115" s="323">
        <v>5.3</v>
      </c>
      <c r="B115" s="313" t="s">
        <v>815</v>
      </c>
      <c r="C115" s="324">
        <v>0.05</v>
      </c>
      <c r="D115" s="325"/>
    </row>
    <row r="116" spans="1:5" ht="14.25" customHeight="1">
      <c r="A116" s="326"/>
      <c r="B116" s="327"/>
      <c r="C116" s="328"/>
      <c r="D116" s="328"/>
      <c r="E116" s="6"/>
    </row>
    <row r="117" spans="1:5" ht="14.25" customHeight="1">
      <c r="A117" s="326"/>
      <c r="B117" s="327"/>
      <c r="C117" s="327"/>
      <c r="D117" s="327"/>
      <c r="E117" s="9"/>
    </row>
    <row r="118" spans="1:5" ht="14.25" customHeight="1">
      <c r="A118" s="326"/>
      <c r="B118" s="327"/>
      <c r="C118" s="327"/>
      <c r="D118" s="327"/>
      <c r="E118" s="9"/>
    </row>
    <row r="119" spans="1:5" ht="14.25" customHeight="1">
      <c r="A119" s="326"/>
      <c r="B119" s="327"/>
      <c r="C119" s="327"/>
      <c r="D119" s="327"/>
      <c r="E119" s="9"/>
    </row>
    <row r="120" spans="1:5" ht="14.25" customHeight="1">
      <c r="A120" s="326"/>
      <c r="B120" s="327"/>
      <c r="C120" s="327"/>
      <c r="D120" s="327"/>
      <c r="E120" s="10"/>
    </row>
    <row r="121" spans="1:5" ht="14.25" customHeight="1">
      <c r="A121" s="319"/>
      <c r="B121" s="7"/>
      <c r="C121" s="7"/>
      <c r="D121" s="7"/>
      <c r="E121" s="11"/>
    </row>
    <row r="122" spans="1:5" ht="14.25" customHeight="1">
      <c r="A122" s="319"/>
      <c r="B122" s="7"/>
      <c r="C122" s="7"/>
      <c r="D122" s="7"/>
      <c r="E122" s="11"/>
    </row>
    <row r="123" spans="1:5" ht="14.25" customHeight="1">
      <c r="A123" s="319"/>
      <c r="B123" s="7"/>
      <c r="C123" s="7"/>
      <c r="D123" s="7"/>
      <c r="E123" s="11"/>
    </row>
    <row r="124" spans="1:5" ht="14.25" customHeight="1">
      <c r="A124" s="319"/>
      <c r="B124" s="7"/>
      <c r="C124" s="7"/>
      <c r="D124" s="7"/>
      <c r="E124" s="11"/>
    </row>
    <row r="125" spans="1:5" ht="14.25" customHeight="1">
      <c r="A125" s="319"/>
      <c r="B125" s="8"/>
      <c r="C125" s="8"/>
      <c r="D125" s="8"/>
      <c r="E125" s="11"/>
    </row>
    <row r="126" spans="1:5" ht="14.25" customHeight="1">
      <c r="A126" s="319"/>
      <c r="B126" s="8"/>
      <c r="C126" s="8"/>
      <c r="D126" s="8"/>
      <c r="E126" s="11"/>
    </row>
    <row r="127" spans="1:5" ht="14.25" customHeight="1">
      <c r="A127" s="319"/>
      <c r="B127" s="8"/>
      <c r="C127" s="8"/>
      <c r="D127" s="8"/>
      <c r="E127" s="11"/>
    </row>
    <row r="128" spans="1:5" ht="14.25" customHeight="1">
      <c r="A128" s="319"/>
      <c r="B128" s="8"/>
      <c r="C128" s="8"/>
      <c r="D128" s="8"/>
      <c r="E128" s="11"/>
    </row>
    <row r="129" spans="1:5" ht="14.25" customHeight="1">
      <c r="A129" s="319"/>
      <c r="B129" s="8"/>
      <c r="C129" s="8"/>
      <c r="D129" s="8"/>
      <c r="E129" s="11"/>
    </row>
    <row r="130" spans="1:5" s="2" customFormat="1" ht="14.25" customHeight="1">
      <c r="A130" s="319"/>
      <c r="B130" s="8"/>
      <c r="C130" s="8"/>
      <c r="D130" s="8"/>
      <c r="E130" s="11"/>
    </row>
    <row r="131" spans="1:5" s="2" customFormat="1" ht="14.25" customHeight="1">
      <c r="A131" s="319"/>
      <c r="B131" s="8"/>
      <c r="C131" s="8"/>
      <c r="D131" s="8"/>
      <c r="E131" s="11"/>
    </row>
    <row r="132" spans="1:5" s="2" customFormat="1" ht="14.25" customHeight="1">
      <c r="A132" s="319"/>
      <c r="B132" s="8"/>
      <c r="C132" s="8"/>
      <c r="D132" s="8"/>
      <c r="E132" s="11"/>
    </row>
    <row r="133" spans="1:5" s="2" customFormat="1" ht="14.25" customHeight="1">
      <c r="A133" s="319"/>
      <c r="B133" s="8"/>
      <c r="C133" s="8"/>
      <c r="D133" s="8"/>
      <c r="E133" s="11"/>
    </row>
    <row r="134" spans="1:5" s="2" customFormat="1" ht="14.25" customHeight="1">
      <c r="A134" s="319"/>
      <c r="B134" s="8"/>
      <c r="C134" s="8"/>
      <c r="D134" s="8"/>
      <c r="E134" s="11"/>
    </row>
    <row r="135" spans="1:5" s="2" customFormat="1" ht="14.25" customHeight="1">
      <c r="A135" s="319"/>
      <c r="B135" s="8"/>
      <c r="C135" s="8"/>
      <c r="D135" s="8"/>
      <c r="E135" s="11"/>
    </row>
    <row r="136" spans="1:5" s="2" customFormat="1" ht="14.25" customHeight="1">
      <c r="A136" s="319"/>
      <c r="B136" s="8"/>
      <c r="C136" s="8"/>
      <c r="D136" s="8"/>
      <c r="E136" s="11"/>
    </row>
    <row r="137" spans="1:5" s="2" customFormat="1" ht="14.25" customHeight="1">
      <c r="A137" s="319"/>
      <c r="B137" s="8"/>
      <c r="C137" s="8"/>
      <c r="D137" s="8"/>
      <c r="E137" s="11"/>
    </row>
    <row r="138" spans="1:5" s="2" customFormat="1" ht="14.25" customHeight="1">
      <c r="A138" s="329"/>
      <c r="B138" s="8"/>
      <c r="C138" s="8"/>
      <c r="D138" s="8"/>
      <c r="E138" s="11"/>
    </row>
    <row r="139" spans="1:5" s="2" customFormat="1" ht="14.25" customHeight="1">
      <c r="A139" s="329"/>
      <c r="B139" s="8"/>
      <c r="C139" s="8"/>
      <c r="D139" s="8"/>
      <c r="E139" s="11"/>
    </row>
    <row r="140" spans="1:5" s="2" customFormat="1" ht="14.25" customHeight="1">
      <c r="A140" s="329"/>
      <c r="B140" s="8"/>
      <c r="C140" s="8"/>
      <c r="D140" s="8"/>
      <c r="E140" s="11"/>
    </row>
    <row r="141" spans="1:5" s="2" customFormat="1" ht="14.25" customHeight="1">
      <c r="A141" s="329"/>
      <c r="B141" s="8"/>
      <c r="C141" s="8"/>
      <c r="D141" s="8"/>
      <c r="E141" s="11"/>
    </row>
    <row r="142" spans="1:5" s="2" customFormat="1" ht="14.25" customHeight="1">
      <c r="A142" s="329"/>
      <c r="B142" s="8"/>
      <c r="C142" s="8"/>
      <c r="D142" s="8"/>
      <c r="E142" s="11"/>
    </row>
    <row r="143" spans="1:5" s="2" customFormat="1" ht="14.25" customHeight="1">
      <c r="A143" s="329"/>
      <c r="B143" s="8"/>
      <c r="C143" s="8"/>
      <c r="D143" s="8"/>
      <c r="E143" s="11"/>
    </row>
    <row r="144" spans="1:5" s="2" customFormat="1" ht="14.25" customHeight="1">
      <c r="A144" s="329"/>
      <c r="B144" s="8"/>
      <c r="C144" s="8"/>
      <c r="D144" s="8"/>
      <c r="E144" s="11"/>
    </row>
    <row r="145" spans="1:5" s="2" customFormat="1" ht="14.25" customHeight="1">
      <c r="A145" s="329"/>
      <c r="B145" s="8"/>
      <c r="C145" s="8"/>
      <c r="D145" s="8"/>
      <c r="E145" s="11"/>
    </row>
    <row r="146" spans="1:5" s="2" customFormat="1" ht="14.25" customHeight="1">
      <c r="A146" s="329"/>
      <c r="B146" s="8"/>
      <c r="C146" s="8"/>
      <c r="D146" s="8"/>
      <c r="E146" s="11"/>
    </row>
    <row r="147" spans="1:5" s="2" customFormat="1" ht="14.25" customHeight="1">
      <c r="A147" s="329"/>
      <c r="B147" s="8"/>
      <c r="C147" s="8"/>
      <c r="D147" s="8"/>
      <c r="E147" s="11"/>
    </row>
    <row r="148" spans="1:5" s="2" customFormat="1" ht="14.25" customHeight="1">
      <c r="A148" s="329"/>
      <c r="B148" s="8"/>
      <c r="C148" s="8"/>
      <c r="D148" s="8"/>
      <c r="E148" s="11"/>
    </row>
    <row r="149" spans="1:5" s="2" customFormat="1" ht="14.25" customHeight="1">
      <c r="A149" s="329"/>
      <c r="B149" s="8"/>
      <c r="C149" s="8"/>
      <c r="D149" s="8"/>
      <c r="E149" s="11"/>
    </row>
    <row r="150" spans="1:5" s="2" customFormat="1" ht="14.25" customHeight="1">
      <c r="A150" s="319"/>
      <c r="B150" s="7"/>
      <c r="C150" s="7"/>
      <c r="D150" s="7"/>
      <c r="E150" s="11"/>
    </row>
    <row r="151" spans="1:5" s="2" customFormat="1" ht="14.25" customHeight="1">
      <c r="A151" s="319"/>
      <c r="B151" s="7"/>
      <c r="C151" s="7"/>
      <c r="D151" s="7"/>
      <c r="E151" s="11"/>
    </row>
    <row r="152" spans="1:5" ht="14.25" customHeight="1">
      <c r="A152" s="330"/>
      <c r="B152" s="13"/>
      <c r="C152" s="13"/>
      <c r="D152" s="13"/>
      <c r="E152" s="11"/>
    </row>
    <row r="153" spans="1:5" ht="14.25" customHeight="1">
      <c r="A153" s="319"/>
      <c r="B153" s="331"/>
      <c r="C153" s="331"/>
      <c r="D153" s="331"/>
      <c r="E153" s="11"/>
    </row>
    <row r="154" spans="1:5" ht="14.25" customHeight="1">
      <c r="A154" s="319"/>
      <c r="B154" s="7"/>
      <c r="C154" s="7"/>
      <c r="D154" s="7"/>
      <c r="E154" s="11"/>
    </row>
    <row r="155" spans="1:5" ht="14.25" customHeight="1">
      <c r="A155" s="319"/>
      <c r="B155" s="7"/>
      <c r="C155" s="7"/>
      <c r="D155" s="7"/>
      <c r="E155" s="11"/>
    </row>
    <row r="156" spans="1:5" s="2" customFormat="1" ht="14.25" customHeight="1">
      <c r="A156" s="319"/>
      <c r="B156" s="332"/>
      <c r="C156" s="332"/>
      <c r="D156" s="332"/>
      <c r="E156" s="11"/>
    </row>
    <row r="157" spans="1:5" s="2" customFormat="1" ht="14.25" customHeight="1">
      <c r="A157" s="319"/>
      <c r="B157" s="332"/>
      <c r="C157" s="332"/>
      <c r="D157" s="332"/>
      <c r="E157" s="14"/>
    </row>
    <row r="158" spans="1:5" ht="14.25" customHeight="1">
      <c r="A158" s="330"/>
      <c r="B158" s="327"/>
      <c r="C158" s="327"/>
      <c r="D158" s="327"/>
      <c r="E158" s="10"/>
    </row>
    <row r="159" spans="1:5" ht="14.25" customHeight="1">
      <c r="A159" s="326"/>
      <c r="B159" s="13"/>
      <c r="C159" s="13"/>
      <c r="D159" s="13"/>
      <c r="E159" s="14"/>
    </row>
    <row r="160" spans="1:5" ht="14.25" customHeight="1">
      <c r="A160" s="319"/>
      <c r="B160" s="7"/>
      <c r="C160" s="7"/>
      <c r="D160" s="7"/>
      <c r="E160" s="15"/>
    </row>
    <row r="161" spans="1:5" ht="14.25" customHeight="1">
      <c r="A161" s="319"/>
      <c r="B161" s="7"/>
      <c r="C161" s="7"/>
      <c r="D161" s="7"/>
      <c r="E161" s="15"/>
    </row>
    <row r="162" spans="1:5" ht="14.25" customHeight="1">
      <c r="A162" s="319"/>
      <c r="B162" s="8"/>
      <c r="C162" s="8"/>
      <c r="D162" s="8"/>
      <c r="E162" s="15"/>
    </row>
    <row r="163" spans="1:5" ht="14.25" customHeight="1">
      <c r="A163" s="319"/>
      <c r="B163" s="7"/>
      <c r="C163" s="7"/>
      <c r="D163" s="7"/>
      <c r="E163" s="15"/>
    </row>
    <row r="164" spans="1:5" ht="14.25" customHeight="1">
      <c r="A164" s="326"/>
      <c r="B164" s="13"/>
      <c r="C164" s="13"/>
      <c r="D164" s="13"/>
      <c r="E164" s="14"/>
    </row>
    <row r="165" spans="1:5" ht="14.25" customHeight="1">
      <c r="A165" s="330"/>
      <c r="B165" s="13"/>
      <c r="C165" s="13"/>
      <c r="D165" s="13"/>
      <c r="E165" s="14"/>
    </row>
    <row r="166" spans="1:5" ht="14.25" customHeight="1">
      <c r="A166" s="319"/>
      <c r="B166" s="7"/>
      <c r="C166" s="7"/>
      <c r="D166" s="7"/>
      <c r="E166" s="15"/>
    </row>
    <row r="167" spans="1:5" ht="14.25" customHeight="1">
      <c r="A167" s="319"/>
      <c r="B167" s="7"/>
      <c r="C167" s="7"/>
      <c r="D167" s="7"/>
      <c r="E167" s="15"/>
    </row>
    <row r="168" spans="1:5" ht="14.25" customHeight="1">
      <c r="A168" s="319"/>
      <c r="B168" s="7"/>
      <c r="C168" s="7"/>
      <c r="D168" s="7"/>
      <c r="E168" s="15"/>
    </row>
    <row r="169" spans="1:5" ht="14.25" customHeight="1">
      <c r="A169" s="319"/>
      <c r="B169" s="7"/>
      <c r="C169" s="7"/>
      <c r="D169" s="7"/>
      <c r="E169" s="15"/>
    </row>
    <row r="170" spans="1:5" ht="14.25" customHeight="1">
      <c r="A170" s="319"/>
      <c r="B170" s="7"/>
      <c r="C170" s="7"/>
      <c r="D170" s="7"/>
      <c r="E170" s="15"/>
    </row>
    <row r="171" spans="1:5" ht="14.25" customHeight="1">
      <c r="A171" s="319"/>
      <c r="B171" s="7"/>
      <c r="C171" s="7"/>
      <c r="D171" s="7"/>
      <c r="E171" s="15"/>
    </row>
    <row r="172" spans="1:5" ht="14.25" customHeight="1">
      <c r="A172" s="319"/>
      <c r="B172" s="7"/>
      <c r="C172" s="7"/>
      <c r="D172" s="7"/>
      <c r="E172" s="15"/>
    </row>
    <row r="173" spans="1:5" ht="14.25" customHeight="1">
      <c r="A173" s="319"/>
      <c r="B173" s="7"/>
      <c r="C173" s="7"/>
      <c r="D173" s="7"/>
      <c r="E173" s="15"/>
    </row>
    <row r="174" spans="1:5" ht="14.25" customHeight="1">
      <c r="A174" s="319"/>
      <c r="B174" s="7"/>
      <c r="C174" s="7"/>
      <c r="D174" s="7"/>
      <c r="E174" s="15"/>
    </row>
    <row r="175" spans="1:5" ht="14.25" customHeight="1">
      <c r="A175" s="319"/>
      <c r="B175" s="7"/>
      <c r="C175" s="7"/>
      <c r="D175" s="7"/>
      <c r="E175" s="15"/>
    </row>
    <row r="176" spans="1:5" ht="14.25" customHeight="1">
      <c r="A176" s="319"/>
      <c r="B176" s="7"/>
      <c r="C176" s="7"/>
      <c r="D176" s="7"/>
      <c r="E176" s="15"/>
    </row>
    <row r="177" spans="1:5" ht="14.25" customHeight="1">
      <c r="A177" s="319"/>
      <c r="B177" s="7"/>
      <c r="C177" s="7"/>
      <c r="D177" s="7"/>
      <c r="E177" s="15"/>
    </row>
    <row r="178" spans="1:5" ht="14.25" customHeight="1">
      <c r="A178" s="319"/>
      <c r="B178" s="7"/>
      <c r="C178" s="7"/>
      <c r="D178" s="7"/>
      <c r="E178" s="15"/>
    </row>
    <row r="179" spans="1:5" ht="14.25" customHeight="1">
      <c r="A179" s="319"/>
      <c r="B179" s="7"/>
      <c r="C179" s="7"/>
      <c r="D179" s="7"/>
      <c r="E179" s="15"/>
    </row>
    <row r="180" spans="1:5" ht="14.25" customHeight="1">
      <c r="A180" s="319"/>
      <c r="B180" s="7"/>
      <c r="C180" s="7"/>
      <c r="D180" s="7"/>
      <c r="E180" s="15"/>
    </row>
    <row r="181" spans="1:5" ht="14.25" customHeight="1">
      <c r="A181" s="319"/>
      <c r="B181" s="7"/>
      <c r="C181" s="7"/>
      <c r="D181" s="7"/>
      <c r="E181" s="15"/>
    </row>
    <row r="182" spans="1:5" ht="14.25" customHeight="1">
      <c r="A182" s="319"/>
      <c r="B182" s="7"/>
      <c r="C182" s="7"/>
      <c r="D182" s="7"/>
      <c r="E182" s="15"/>
    </row>
    <row r="183" spans="1:5" ht="14.25" customHeight="1">
      <c r="A183" s="319"/>
      <c r="B183" s="7"/>
      <c r="C183" s="7"/>
      <c r="D183" s="7"/>
      <c r="E183" s="15"/>
    </row>
    <row r="184" spans="1:5" ht="14.25" customHeight="1">
      <c r="A184" s="319"/>
      <c r="B184" s="7"/>
      <c r="C184" s="7"/>
      <c r="D184" s="7"/>
      <c r="E184" s="15"/>
    </row>
    <row r="185" spans="1:5" ht="14.25" customHeight="1">
      <c r="A185" s="319"/>
      <c r="B185" s="7"/>
      <c r="C185" s="7"/>
      <c r="D185" s="7"/>
      <c r="E185" s="15"/>
    </row>
    <row r="186" spans="1:5" ht="14.25" customHeight="1">
      <c r="A186" s="319"/>
      <c r="B186" s="7"/>
      <c r="C186" s="7"/>
      <c r="D186" s="7"/>
      <c r="E186" s="15"/>
    </row>
    <row r="187" spans="1:5" ht="14.25" customHeight="1">
      <c r="A187" s="319"/>
      <c r="B187" s="7"/>
      <c r="C187" s="7"/>
      <c r="D187" s="7"/>
      <c r="E187" s="15"/>
    </row>
    <row r="188" spans="1:5" ht="14.25" customHeight="1">
      <c r="A188" s="319"/>
      <c r="B188" s="7"/>
      <c r="C188" s="7"/>
      <c r="D188" s="7"/>
      <c r="E188" s="15"/>
    </row>
    <row r="189" spans="1:5" ht="14.25" customHeight="1">
      <c r="A189" s="319"/>
      <c r="B189" s="7"/>
      <c r="C189" s="7"/>
      <c r="D189" s="7"/>
      <c r="E189" s="15"/>
    </row>
    <row r="190" spans="1:5" ht="14.25" customHeight="1">
      <c r="A190" s="319"/>
      <c r="B190" s="7"/>
      <c r="C190" s="7"/>
      <c r="D190" s="7"/>
      <c r="E190" s="15"/>
    </row>
    <row r="191" spans="1:5" ht="14.25" customHeight="1">
      <c r="A191" s="319"/>
      <c r="B191" s="7"/>
      <c r="C191" s="7"/>
      <c r="D191" s="7"/>
      <c r="E191" s="15"/>
    </row>
    <row r="192" spans="1:5" ht="14.25" customHeight="1">
      <c r="A192" s="319"/>
      <c r="B192" s="7"/>
      <c r="C192" s="7"/>
      <c r="D192" s="7"/>
      <c r="E192" s="15"/>
    </row>
    <row r="193" spans="1:5" ht="14.25" customHeight="1">
      <c r="A193" s="319"/>
      <c r="B193" s="7"/>
      <c r="C193" s="7"/>
      <c r="D193" s="7"/>
      <c r="E193" s="15"/>
    </row>
    <row r="194" spans="1:5" ht="14.25" customHeight="1">
      <c r="A194" s="319"/>
      <c r="B194" s="7"/>
      <c r="C194" s="7"/>
      <c r="D194" s="7"/>
      <c r="E194" s="15"/>
    </row>
    <row r="195" spans="1:5" ht="14.25" customHeight="1">
      <c r="A195" s="319"/>
      <c r="B195" s="7"/>
      <c r="C195" s="7"/>
      <c r="D195" s="7"/>
      <c r="E195" s="15"/>
    </row>
    <row r="196" spans="1:5" ht="14.25" customHeight="1">
      <c r="A196" s="319"/>
      <c r="B196" s="7"/>
      <c r="C196" s="7"/>
      <c r="D196" s="7"/>
      <c r="E196" s="15"/>
    </row>
    <row r="197" spans="1:5" ht="14.25" customHeight="1">
      <c r="A197" s="319"/>
      <c r="B197" s="7"/>
      <c r="C197" s="7"/>
      <c r="D197" s="7"/>
      <c r="E197" s="15"/>
    </row>
    <row r="198" spans="1:5" ht="14.25" customHeight="1">
      <c r="A198" s="319"/>
      <c r="B198" s="7"/>
      <c r="C198" s="7"/>
      <c r="D198" s="7"/>
      <c r="E198" s="15"/>
    </row>
    <row r="199" spans="1:5" ht="14.25" customHeight="1">
      <c r="A199" s="319"/>
      <c r="B199" s="7"/>
      <c r="C199" s="7"/>
      <c r="D199" s="7"/>
      <c r="E199" s="15"/>
    </row>
    <row r="200" spans="1:5" ht="14.25" customHeight="1">
      <c r="A200" s="319"/>
      <c r="B200" s="7"/>
      <c r="C200" s="7"/>
      <c r="D200" s="7"/>
      <c r="E200" s="15"/>
    </row>
    <row r="201" spans="1:5" ht="14.25" customHeight="1">
      <c r="A201" s="319"/>
      <c r="B201" s="7"/>
      <c r="C201" s="7"/>
      <c r="D201" s="7"/>
      <c r="E201" s="15"/>
    </row>
    <row r="202" spans="1:5" ht="14.25" customHeight="1">
      <c r="A202" s="319"/>
      <c r="B202" s="7"/>
      <c r="C202" s="7"/>
      <c r="D202" s="7"/>
      <c r="E202" s="15"/>
    </row>
    <row r="203" spans="1:5" ht="14.25" customHeight="1">
      <c r="A203" s="319"/>
      <c r="B203" s="7"/>
      <c r="C203" s="7"/>
      <c r="D203" s="7"/>
      <c r="E203" s="15"/>
    </row>
    <row r="204" spans="1:5" ht="14.25" customHeight="1">
      <c r="A204" s="319"/>
      <c r="B204" s="7"/>
      <c r="C204" s="7"/>
      <c r="D204" s="7"/>
      <c r="E204" s="15"/>
    </row>
    <row r="205" spans="1:5" ht="14.25" customHeight="1">
      <c r="A205" s="319"/>
      <c r="B205" s="7"/>
      <c r="C205" s="7"/>
      <c r="D205" s="7"/>
      <c r="E205" s="15"/>
    </row>
    <row r="206" spans="1:5" ht="14.25" customHeight="1">
      <c r="A206" s="319"/>
      <c r="B206" s="7"/>
      <c r="C206" s="7"/>
      <c r="D206" s="7"/>
      <c r="E206" s="15"/>
    </row>
    <row r="207" spans="1:5" ht="14.25" customHeight="1">
      <c r="A207" s="319"/>
      <c r="B207" s="7"/>
      <c r="C207" s="7"/>
      <c r="D207" s="7"/>
      <c r="E207" s="15"/>
    </row>
    <row r="208" spans="1:5" ht="14.25" customHeight="1">
      <c r="A208" s="319"/>
      <c r="B208" s="7"/>
      <c r="C208" s="7"/>
      <c r="D208" s="7"/>
      <c r="E208" s="15"/>
    </row>
    <row r="209" spans="1:5" ht="14.25" customHeight="1">
      <c r="A209" s="319"/>
      <c r="B209" s="7"/>
      <c r="C209" s="7"/>
      <c r="D209" s="7"/>
      <c r="E209" s="15"/>
    </row>
    <row r="210" spans="1:5" ht="14.25" customHeight="1">
      <c r="A210" s="319"/>
      <c r="B210" s="7"/>
      <c r="C210" s="7"/>
      <c r="D210" s="7"/>
      <c r="E210" s="15"/>
    </row>
    <row r="211" spans="1:5" ht="14.25" customHeight="1">
      <c r="A211" s="319"/>
      <c r="B211" s="7"/>
      <c r="C211" s="7"/>
      <c r="D211" s="7"/>
      <c r="E211" s="15"/>
    </row>
    <row r="212" spans="1:5" ht="14.25" customHeight="1">
      <c r="A212" s="319"/>
      <c r="B212" s="7"/>
      <c r="C212" s="7"/>
      <c r="D212" s="7"/>
      <c r="E212" s="15"/>
    </row>
    <row r="213" spans="1:5" ht="14.25" customHeight="1">
      <c r="A213" s="319"/>
      <c r="B213" s="7"/>
      <c r="C213" s="7"/>
      <c r="D213" s="7"/>
      <c r="E213" s="15"/>
    </row>
    <row r="214" spans="1:5" ht="14.25" customHeight="1">
      <c r="A214" s="319"/>
      <c r="B214" s="7"/>
      <c r="C214" s="7"/>
      <c r="D214" s="7"/>
      <c r="E214" s="15"/>
    </row>
    <row r="215" spans="1:5" ht="14.25" customHeight="1">
      <c r="A215" s="319"/>
      <c r="B215" s="7"/>
      <c r="C215" s="7"/>
      <c r="D215" s="7"/>
      <c r="E215" s="15"/>
    </row>
    <row r="216" spans="1:5" ht="14.25" customHeight="1">
      <c r="A216" s="319"/>
      <c r="B216" s="7"/>
      <c r="C216" s="7"/>
      <c r="D216" s="7"/>
      <c r="E216" s="15"/>
    </row>
    <row r="217" spans="1:5" ht="14.25" customHeight="1">
      <c r="A217" s="319"/>
      <c r="B217" s="7"/>
      <c r="C217" s="7"/>
      <c r="D217" s="7"/>
      <c r="E217" s="15"/>
    </row>
    <row r="218" spans="1:5" ht="14.25" customHeight="1">
      <c r="A218" s="319"/>
      <c r="B218" s="7"/>
      <c r="C218" s="7"/>
      <c r="D218" s="7"/>
      <c r="E218" s="15"/>
    </row>
    <row r="219" spans="1:5" ht="14.25" customHeight="1">
      <c r="A219" s="319"/>
      <c r="B219" s="7"/>
      <c r="C219" s="7"/>
      <c r="D219" s="7"/>
      <c r="E219" s="15"/>
    </row>
    <row r="220" spans="1:5" ht="14.25" customHeight="1">
      <c r="A220" s="319"/>
      <c r="B220" s="7"/>
      <c r="C220" s="7"/>
      <c r="D220" s="7"/>
      <c r="E220" s="15"/>
    </row>
    <row r="221" spans="1:5" ht="14.25" customHeight="1">
      <c r="A221" s="319"/>
      <c r="B221" s="7"/>
      <c r="C221" s="7"/>
      <c r="D221" s="7"/>
      <c r="E221" s="15"/>
    </row>
    <row r="222" spans="1:5" ht="14.25" customHeight="1">
      <c r="A222" s="319"/>
      <c r="B222" s="7"/>
      <c r="C222" s="7"/>
      <c r="D222" s="7"/>
      <c r="E222" s="15"/>
    </row>
    <row r="223" spans="1:5" ht="14.25" customHeight="1">
      <c r="A223" s="319"/>
      <c r="B223" s="7"/>
      <c r="C223" s="7"/>
      <c r="D223" s="7"/>
      <c r="E223" s="15"/>
    </row>
    <row r="224" spans="1:5" ht="14.25" customHeight="1">
      <c r="A224" s="319"/>
      <c r="B224" s="7"/>
      <c r="C224" s="7"/>
      <c r="D224" s="7"/>
      <c r="E224" s="15"/>
    </row>
    <row r="225" spans="1:5" ht="14.25" customHeight="1">
      <c r="A225" s="319"/>
      <c r="B225" s="7"/>
      <c r="C225" s="7"/>
      <c r="D225" s="7"/>
      <c r="E225" s="15"/>
    </row>
    <row r="226" spans="1:5" ht="14.25" customHeight="1">
      <c r="A226" s="319"/>
      <c r="B226" s="7"/>
      <c r="C226" s="7"/>
      <c r="D226" s="7"/>
      <c r="E226" s="15"/>
    </row>
    <row r="227" spans="1:5" ht="14.25" customHeight="1">
      <c r="A227" s="319"/>
      <c r="B227" s="7"/>
      <c r="C227" s="7"/>
      <c r="D227" s="7"/>
      <c r="E227" s="15"/>
    </row>
    <row r="228" spans="1:5" ht="14.25" customHeight="1">
      <c r="A228" s="319"/>
      <c r="B228" s="7"/>
      <c r="C228" s="7"/>
      <c r="D228" s="7"/>
      <c r="E228" s="15"/>
    </row>
    <row r="229" spans="1:5" ht="14.25" customHeight="1">
      <c r="A229" s="319"/>
      <c r="B229" s="7"/>
      <c r="C229" s="7"/>
      <c r="D229" s="7"/>
      <c r="E229" s="15"/>
    </row>
    <row r="230" spans="1:5" ht="14.25" customHeight="1">
      <c r="A230" s="319"/>
      <c r="B230" s="7"/>
      <c r="C230" s="7"/>
      <c r="D230" s="7"/>
      <c r="E230" s="15"/>
    </row>
    <row r="231" spans="1:5" ht="14.25" customHeight="1">
      <c r="A231" s="319"/>
      <c r="B231" s="7"/>
      <c r="C231" s="7"/>
      <c r="D231" s="7"/>
      <c r="E231" s="15"/>
    </row>
    <row r="232" spans="1:5" ht="14.25" customHeight="1">
      <c r="A232" s="319"/>
      <c r="B232" s="7"/>
      <c r="C232" s="7"/>
      <c r="D232" s="7"/>
      <c r="E232" s="15"/>
    </row>
    <row r="233" spans="1:5" ht="14.25" customHeight="1">
      <c r="A233" s="319"/>
      <c r="B233" s="7"/>
      <c r="C233" s="7"/>
      <c r="D233" s="7"/>
      <c r="E233" s="15"/>
    </row>
    <row r="234" spans="1:5" ht="14.25" customHeight="1">
      <c r="A234" s="319"/>
      <c r="B234" s="7"/>
      <c r="C234" s="7"/>
      <c r="D234" s="7"/>
      <c r="E234" s="15"/>
    </row>
    <row r="235" spans="1:5" ht="14.25" customHeight="1">
      <c r="A235" s="319"/>
      <c r="B235" s="7"/>
      <c r="C235" s="7"/>
      <c r="D235" s="7"/>
      <c r="E235" s="15"/>
    </row>
    <row r="236" spans="1:5" ht="14.25" customHeight="1">
      <c r="A236" s="319"/>
      <c r="B236" s="7"/>
      <c r="C236" s="7"/>
      <c r="D236" s="7"/>
      <c r="E236" s="15"/>
    </row>
    <row r="237" spans="1:5" ht="14.25" customHeight="1">
      <c r="A237" s="319"/>
      <c r="B237" s="7"/>
      <c r="C237" s="7"/>
      <c r="D237" s="7"/>
      <c r="E237" s="15"/>
    </row>
    <row r="238" spans="1:5" ht="14.25" customHeight="1">
      <c r="A238" s="319"/>
      <c r="B238" s="7"/>
      <c r="C238" s="7"/>
      <c r="D238" s="7"/>
      <c r="E238" s="15"/>
    </row>
    <row r="239" spans="1:5" ht="14.25" customHeight="1">
      <c r="A239" s="319"/>
      <c r="B239" s="7"/>
      <c r="C239" s="7"/>
      <c r="D239" s="7"/>
      <c r="E239" s="15"/>
    </row>
    <row r="240" spans="1:5" ht="14.25" customHeight="1">
      <c r="A240" s="319"/>
      <c r="B240" s="7"/>
      <c r="C240" s="7"/>
      <c r="D240" s="7"/>
      <c r="E240" s="15"/>
    </row>
    <row r="241" spans="1:5" ht="14.25" customHeight="1">
      <c r="A241" s="319"/>
      <c r="B241" s="7"/>
      <c r="C241" s="7"/>
      <c r="D241" s="7"/>
      <c r="E241" s="15"/>
    </row>
    <row r="242" spans="1:5" ht="14.25" customHeight="1">
      <c r="A242" s="319"/>
      <c r="B242" s="7"/>
      <c r="C242" s="7"/>
      <c r="D242" s="7"/>
      <c r="E242" s="15"/>
    </row>
    <row r="243" spans="1:5" ht="14.25" customHeight="1">
      <c r="A243" s="326"/>
      <c r="B243" s="327"/>
      <c r="C243" s="327"/>
      <c r="D243" s="327"/>
      <c r="E243" s="14"/>
    </row>
    <row r="244" spans="1:5" ht="14.25" customHeight="1">
      <c r="A244" s="319"/>
      <c r="B244" s="7"/>
      <c r="C244" s="7"/>
      <c r="D244" s="7"/>
      <c r="E244" s="15"/>
    </row>
    <row r="245" spans="1:5" ht="14.25" customHeight="1">
      <c r="A245" s="319"/>
      <c r="B245" s="7"/>
      <c r="C245" s="7"/>
      <c r="D245" s="7"/>
      <c r="E245" s="15"/>
    </row>
    <row r="246" spans="1:5" ht="14.25" customHeight="1">
      <c r="A246" s="319"/>
      <c r="B246" s="7"/>
      <c r="C246" s="7"/>
      <c r="D246" s="7"/>
      <c r="E246" s="15"/>
    </row>
    <row r="247" spans="1:5" ht="14.25" customHeight="1">
      <c r="A247" s="319"/>
      <c r="B247" s="7"/>
      <c r="C247" s="7"/>
      <c r="D247" s="7"/>
      <c r="E247" s="15"/>
    </row>
    <row r="248" spans="1:5" ht="14.25" customHeight="1">
      <c r="A248" s="319"/>
      <c r="B248" s="7"/>
      <c r="C248" s="7"/>
      <c r="D248" s="7"/>
      <c r="E248" s="15"/>
    </row>
    <row r="249" spans="1:5" ht="14.25" customHeight="1">
      <c r="A249" s="319"/>
      <c r="B249" s="7"/>
      <c r="C249" s="7"/>
      <c r="D249" s="7"/>
      <c r="E249" s="15"/>
    </row>
    <row r="250" spans="1:5" ht="14.25" customHeight="1">
      <c r="A250" s="319"/>
      <c r="B250" s="7"/>
      <c r="C250" s="7"/>
      <c r="D250" s="7"/>
      <c r="E250" s="15"/>
    </row>
    <row r="251" spans="1:5" ht="14.25" customHeight="1">
      <c r="A251" s="319"/>
      <c r="B251" s="7"/>
      <c r="C251" s="7"/>
      <c r="D251" s="7"/>
      <c r="E251" s="15"/>
    </row>
    <row r="252" spans="1:5" ht="14.25" customHeight="1">
      <c r="A252" s="319"/>
      <c r="B252" s="7"/>
      <c r="C252" s="7"/>
      <c r="D252" s="7"/>
      <c r="E252" s="15"/>
    </row>
    <row r="253" spans="1:5" ht="14.25" customHeight="1">
      <c r="A253" s="319"/>
      <c r="B253" s="7"/>
      <c r="C253" s="7"/>
      <c r="D253" s="7"/>
      <c r="E253" s="15"/>
    </row>
    <row r="254" spans="1:5" ht="14.25" customHeight="1">
      <c r="A254" s="319"/>
      <c r="B254" s="7"/>
      <c r="C254" s="7"/>
      <c r="D254" s="7"/>
      <c r="E254" s="15"/>
    </row>
    <row r="255" spans="1:5" ht="14.25" customHeight="1">
      <c r="A255" s="319"/>
      <c r="B255" s="7"/>
      <c r="C255" s="7"/>
      <c r="D255" s="7"/>
      <c r="E255" s="15"/>
    </row>
    <row r="256" spans="1:5" ht="14.25" customHeight="1">
      <c r="A256" s="319"/>
      <c r="B256" s="7"/>
      <c r="C256" s="7"/>
      <c r="D256" s="7"/>
      <c r="E256" s="15"/>
    </row>
    <row r="257" spans="1:5" ht="14.25" customHeight="1">
      <c r="A257" s="319"/>
      <c r="B257" s="7"/>
      <c r="C257" s="7"/>
      <c r="D257" s="7"/>
      <c r="E257" s="15"/>
    </row>
    <row r="258" spans="1:5" ht="14.25" customHeight="1">
      <c r="A258" s="319"/>
      <c r="B258" s="7"/>
      <c r="C258" s="7"/>
      <c r="D258" s="7"/>
      <c r="E258" s="15"/>
    </row>
    <row r="259" spans="1:5" ht="14.25" customHeight="1">
      <c r="A259" s="319"/>
      <c r="B259" s="7"/>
      <c r="C259" s="7"/>
      <c r="D259" s="7"/>
      <c r="E259" s="15"/>
    </row>
    <row r="260" spans="1:5" ht="14.25" customHeight="1">
      <c r="A260" s="319"/>
      <c r="B260" s="7"/>
      <c r="C260" s="7"/>
      <c r="D260" s="7"/>
      <c r="E260" s="15"/>
    </row>
    <row r="261" spans="1:5" ht="14.25" customHeight="1">
      <c r="A261" s="326"/>
      <c r="B261" s="327"/>
      <c r="C261" s="327"/>
      <c r="D261" s="327"/>
      <c r="E261" s="14"/>
    </row>
    <row r="262" spans="1:5" ht="14.25" customHeight="1">
      <c r="A262" s="319"/>
      <c r="B262" s="7"/>
      <c r="C262" s="7"/>
      <c r="D262" s="7"/>
      <c r="E262" s="15"/>
    </row>
    <row r="263" spans="1:5" ht="14.25" customHeight="1">
      <c r="A263" s="319"/>
      <c r="B263" s="8"/>
      <c r="C263" s="8"/>
      <c r="D263" s="8"/>
      <c r="E263" s="15"/>
    </row>
    <row r="264" spans="1:5" ht="14.25" customHeight="1">
      <c r="A264" s="319"/>
      <c r="B264" s="7"/>
      <c r="C264" s="7"/>
      <c r="D264" s="7"/>
      <c r="E264" s="15"/>
    </row>
    <row r="265" spans="1:5" ht="14.25" customHeight="1">
      <c r="A265" s="319"/>
      <c r="B265" s="7"/>
      <c r="C265" s="7"/>
      <c r="D265" s="7"/>
      <c r="E265" s="15"/>
    </row>
    <row r="266" spans="1:5" ht="14.25" customHeight="1">
      <c r="A266" s="319"/>
      <c r="B266" s="7"/>
      <c r="C266" s="7"/>
      <c r="D266" s="7"/>
      <c r="E266" s="15"/>
    </row>
    <row r="267" spans="1:5" ht="14.25" customHeight="1">
      <c r="A267" s="319"/>
      <c r="B267" s="7"/>
      <c r="C267" s="7"/>
      <c r="D267" s="7"/>
      <c r="E267" s="15"/>
    </row>
    <row r="268" spans="1:5" ht="14.25" customHeight="1">
      <c r="A268" s="319"/>
      <c r="B268" s="7"/>
      <c r="C268" s="7"/>
      <c r="D268" s="7"/>
      <c r="E268" s="15"/>
    </row>
    <row r="269" spans="1:5" ht="14.25" customHeight="1">
      <c r="A269" s="319"/>
      <c r="B269" s="7"/>
      <c r="C269" s="7"/>
      <c r="D269" s="7"/>
      <c r="E269" s="15"/>
    </row>
    <row r="270" spans="1:5" ht="14.25" customHeight="1">
      <c r="A270" s="319"/>
      <c r="B270" s="7"/>
      <c r="C270" s="7"/>
      <c r="D270" s="7"/>
      <c r="E270" s="15"/>
    </row>
    <row r="271" spans="1:5" ht="14.25" customHeight="1">
      <c r="A271" s="319"/>
      <c r="B271" s="8"/>
      <c r="C271" s="8"/>
      <c r="D271" s="8"/>
      <c r="E271" s="15"/>
    </row>
    <row r="272" spans="1:5" ht="14.25" customHeight="1">
      <c r="A272" s="319"/>
      <c r="B272" s="7"/>
      <c r="C272" s="7"/>
      <c r="D272" s="7"/>
      <c r="E272" s="15"/>
    </row>
    <row r="273" spans="1:5" ht="14.25" customHeight="1">
      <c r="A273" s="319"/>
      <c r="B273" s="7"/>
      <c r="C273" s="7"/>
      <c r="D273" s="7"/>
      <c r="E273" s="15"/>
    </row>
    <row r="274" spans="1:5" ht="14.25" customHeight="1">
      <c r="A274" s="319"/>
      <c r="B274" s="7"/>
      <c r="C274" s="7"/>
      <c r="D274" s="7"/>
      <c r="E274" s="15"/>
    </row>
    <row r="275" spans="1:5" ht="14.25" customHeight="1">
      <c r="A275" s="319"/>
      <c r="B275" s="7"/>
      <c r="C275" s="7"/>
      <c r="D275" s="7"/>
      <c r="E275" s="15"/>
    </row>
    <row r="276" spans="1:5" ht="14.25" customHeight="1">
      <c r="A276" s="326"/>
      <c r="B276" s="333"/>
      <c r="C276" s="333"/>
      <c r="D276" s="333"/>
      <c r="E276" s="14"/>
    </row>
    <row r="277" spans="1:5" ht="14.25" customHeight="1">
      <c r="A277" s="319"/>
      <c r="B277" s="7"/>
      <c r="C277" s="7"/>
      <c r="D277" s="7"/>
      <c r="E277" s="16"/>
    </row>
    <row r="278" spans="1:5" ht="14.25" customHeight="1">
      <c r="A278" s="319"/>
      <c r="B278" s="7"/>
      <c r="C278" s="7"/>
      <c r="D278" s="7"/>
      <c r="E278" s="16"/>
    </row>
    <row r="279" spans="1:5" ht="14.25" customHeight="1">
      <c r="A279" s="319"/>
      <c r="B279" s="7"/>
      <c r="C279" s="7"/>
      <c r="D279" s="7"/>
      <c r="E279" s="16"/>
    </row>
    <row r="280" spans="1:5" ht="14.25" customHeight="1">
      <c r="A280" s="319"/>
      <c r="B280" s="7"/>
      <c r="C280" s="7"/>
      <c r="D280" s="7"/>
      <c r="E280" s="16"/>
    </row>
    <row r="281" spans="1:5" ht="14.25" customHeight="1">
      <c r="A281" s="319"/>
      <c r="B281" s="7"/>
      <c r="C281" s="7"/>
      <c r="D281" s="7"/>
      <c r="E281" s="16"/>
    </row>
    <row r="282" spans="1:5" ht="14.25" customHeight="1">
      <c r="A282" s="319"/>
      <c r="B282" s="7"/>
      <c r="C282" s="7"/>
      <c r="D282" s="7"/>
      <c r="E282" s="16"/>
    </row>
    <row r="283" spans="1:5" ht="14.25" customHeight="1">
      <c r="A283" s="319"/>
      <c r="B283" s="7"/>
      <c r="C283" s="7"/>
      <c r="D283" s="7"/>
      <c r="E283" s="16"/>
    </row>
    <row r="284" spans="1:5" ht="14.25" customHeight="1">
      <c r="A284" s="319"/>
      <c r="B284" s="7"/>
      <c r="C284" s="7"/>
      <c r="D284" s="7"/>
      <c r="E284" s="16"/>
    </row>
    <row r="285" spans="1:5" ht="14.25" customHeight="1">
      <c r="A285" s="319"/>
      <c r="B285" s="7"/>
      <c r="C285" s="7"/>
      <c r="D285" s="7"/>
      <c r="E285" s="16"/>
    </row>
    <row r="286" spans="1:5" ht="14.25" customHeight="1">
      <c r="A286" s="319"/>
      <c r="B286" s="7"/>
      <c r="C286" s="7"/>
      <c r="D286" s="7"/>
      <c r="E286" s="16"/>
    </row>
    <row r="287" spans="1:5" ht="14.25" customHeight="1">
      <c r="A287" s="319"/>
      <c r="B287" s="7"/>
      <c r="C287" s="7"/>
      <c r="D287" s="7"/>
      <c r="E287" s="16"/>
    </row>
    <row r="288" spans="1:5" ht="14.25" customHeight="1">
      <c r="A288" s="319"/>
      <c r="B288" s="7"/>
      <c r="C288" s="7"/>
      <c r="D288" s="7"/>
      <c r="E288" s="16"/>
    </row>
    <row r="289" spans="1:5" ht="14.25" customHeight="1">
      <c r="A289" s="319"/>
      <c r="B289" s="7"/>
      <c r="C289" s="7"/>
      <c r="D289" s="7"/>
      <c r="E289" s="16"/>
    </row>
    <row r="290" spans="1:5" ht="14.25" customHeight="1">
      <c r="A290" s="319"/>
      <c r="B290" s="7"/>
      <c r="C290" s="7"/>
      <c r="D290" s="7"/>
      <c r="E290" s="16"/>
    </row>
    <row r="291" spans="1:5" ht="14.25" customHeight="1">
      <c r="A291" s="319"/>
      <c r="B291" s="7"/>
      <c r="C291" s="7"/>
      <c r="D291" s="7"/>
      <c r="E291" s="16"/>
    </row>
    <row r="292" spans="1:5" ht="14.25" customHeight="1">
      <c r="A292" s="319"/>
      <c r="B292" s="7"/>
      <c r="C292" s="7"/>
      <c r="D292" s="7"/>
      <c r="E292" s="16"/>
    </row>
    <row r="293" spans="1:5" ht="14.25" customHeight="1">
      <c r="A293" s="319"/>
      <c r="B293" s="7"/>
      <c r="C293" s="7"/>
      <c r="D293" s="7"/>
      <c r="E293" s="16"/>
    </row>
    <row r="294" spans="1:5" ht="14.25" customHeight="1">
      <c r="A294" s="319"/>
      <c r="B294" s="7"/>
      <c r="C294" s="7"/>
      <c r="D294" s="7"/>
      <c r="E294" s="16"/>
    </row>
    <row r="295" spans="1:5" ht="14.25" customHeight="1">
      <c r="A295" s="319"/>
      <c r="B295" s="7"/>
      <c r="C295" s="7"/>
      <c r="D295" s="7"/>
      <c r="E295" s="16"/>
    </row>
    <row r="296" spans="1:5" s="2" customFormat="1" ht="14.25" customHeight="1">
      <c r="A296" s="319"/>
      <c r="B296" s="7"/>
      <c r="C296" s="7"/>
      <c r="D296" s="7"/>
      <c r="E296" s="16"/>
    </row>
    <row r="297" spans="1:5" s="2" customFormat="1" ht="14.25" customHeight="1">
      <c r="A297" s="319"/>
      <c r="B297" s="7"/>
      <c r="C297" s="7"/>
      <c r="D297" s="7"/>
      <c r="E297" s="16"/>
    </row>
    <row r="298" spans="1:5" s="2" customFormat="1" ht="14.25" customHeight="1">
      <c r="A298" s="319"/>
      <c r="B298" s="7"/>
      <c r="C298" s="7"/>
      <c r="D298" s="7"/>
      <c r="E298" s="16"/>
    </row>
    <row r="299" spans="1:5" s="2" customFormat="1" ht="14.25" customHeight="1">
      <c r="A299" s="319"/>
      <c r="B299" s="7"/>
      <c r="C299" s="7"/>
      <c r="D299" s="7"/>
      <c r="E299" s="15"/>
    </row>
    <row r="300" spans="1:5" ht="14.25" customHeight="1">
      <c r="A300" s="319"/>
      <c r="B300" s="7"/>
      <c r="C300" s="7"/>
      <c r="D300" s="7"/>
      <c r="E300" s="16"/>
    </row>
    <row r="301" spans="1:5" ht="14.25" customHeight="1">
      <c r="A301" s="319"/>
      <c r="B301" s="7"/>
      <c r="C301" s="7"/>
      <c r="D301" s="7"/>
      <c r="E301" s="16"/>
    </row>
    <row r="302" spans="1:5" ht="14.25" customHeight="1">
      <c r="A302" s="319"/>
      <c r="B302" s="7"/>
      <c r="C302" s="7"/>
      <c r="D302" s="7"/>
      <c r="E302" s="16"/>
    </row>
    <row r="303" spans="1:5" ht="14.25" customHeight="1">
      <c r="A303" s="319"/>
      <c r="B303" s="7"/>
      <c r="C303" s="7"/>
      <c r="D303" s="7"/>
      <c r="E303" s="16"/>
    </row>
    <row r="304" spans="1:5" ht="14.25" customHeight="1">
      <c r="A304" s="319"/>
      <c r="B304" s="7"/>
      <c r="C304" s="7"/>
      <c r="D304" s="7"/>
      <c r="E304" s="16"/>
    </row>
    <row r="305" spans="1:5" ht="14.25" customHeight="1">
      <c r="A305" s="319"/>
      <c r="B305" s="7"/>
      <c r="C305" s="7"/>
      <c r="D305" s="7"/>
      <c r="E305" s="16"/>
    </row>
    <row r="306" spans="1:5" ht="14.25" customHeight="1">
      <c r="A306" s="5"/>
      <c r="B306" s="12"/>
      <c r="C306" s="12"/>
      <c r="D306" s="12"/>
      <c r="E306" s="15"/>
    </row>
  </sheetData>
  <mergeCells count="2">
    <mergeCell ref="A1:E1"/>
    <mergeCell ref="B2:C2"/>
  </mergeCells>
  <phoneticPr fontId="61" type="noConversion"/>
  <dataValidations count="1">
    <dataValidation type="decimal" allowBlank="1" showInputMessage="1" showErrorMessage="1" sqref="C5:E114" xr:uid="{00000000-0002-0000-0B00-000000000000}">
      <formula1>-100000000000</formula1>
      <formula2>100000000000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</vt:i4>
      </vt:variant>
    </vt:vector>
  </HeadingPairs>
  <TitlesOfParts>
    <vt:vector size="12" baseType="lpstr">
      <vt:lpstr>封面</vt:lpstr>
      <vt:lpstr>目录</vt:lpstr>
      <vt:lpstr>编制说明</vt:lpstr>
      <vt:lpstr>项目月度资金预算批复单-表1</vt:lpstr>
      <vt:lpstr>项目月度商务管理分析表-表2</vt:lpstr>
      <vt:lpstr>项目月度商务管理汇总表-表3</vt:lpstr>
      <vt:lpstr>项目月度业主产值表-表3.1</vt:lpstr>
      <vt:lpstr>项目月度业主待确产值分析表-表3.1.1</vt:lpstr>
      <vt:lpstr>项目月度完全成本、付款明细表-表3.2</vt:lpstr>
      <vt:lpstr>项目月度待确成本分析表-表3.2.1</vt:lpstr>
      <vt:lpstr>项目收支汇总表</vt:lpstr>
      <vt:lpstr>'项目月度完全成本、付款明细表-表3.2'!_FilterDatabase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陈思燕</dc:creator>
  <cp:lastModifiedBy>Heng Tang</cp:lastModifiedBy>
  <dcterms:created xsi:type="dcterms:W3CDTF">2019-09-20T11:33:00Z</dcterms:created>
  <dcterms:modified xsi:type="dcterms:W3CDTF">2026-06-01T03:37:10Z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1033-3.4.1.5291</vt:lpwstr>
  </property>
  <property fmtid="{D5CDD505-2E9C-101B-9397-08002B2CF9AE}" pid="3" name="KSOReadingLayout">
    <vt:bool>false</vt:bool>
  </property>
  <property fmtid="{D5CDD505-2E9C-101B-9397-08002B2CF9AE}" pid="4" name="ICV">
    <vt:lpwstr>AB38DEF64B1B4B26B67E12516D079836</vt:lpwstr>
  </property>
</Properties>
</file>
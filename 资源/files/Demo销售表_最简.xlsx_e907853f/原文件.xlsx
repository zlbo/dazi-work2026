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\"/>
    </mc:Choice>
  </mc:AlternateContent>
  <xr:revisionPtr revIDLastSave="0" documentId="13_ncr:1_{81393007-FCCE-431E-B528-48D8081DAFAD}" xr6:coauthVersionLast="47" xr6:coauthVersionMax="47" xr10:uidLastSave="{00000000-0000-0000-0000-000000000000}"/>
  <bookViews>
    <workbookView xWindow="1800" yWindow="1800" windowWidth="19749" windowHeight="11477" xr2:uid="{062BADA0-CF82-435C-82C0-96AD5892071F}"/>
  </bookViews>
  <sheets>
    <sheet name="销售表" sheetId="1" r:id="rId1"/>
    <sheet name="规格表" sheetId="5" r:id="rId2"/>
    <sheet name="产品表" sheetId="4" r:id="rId3"/>
    <sheet name="公式测试" sheetId="7" r:id="rId4"/>
    <sheet name="图表" sheetId="3" r:id="rId5"/>
  </sheets>
  <calcPr calcId="18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7" l="1"/>
  <c r="B4" i="7"/>
  <c r="C4" i="7"/>
  <c r="D3" i="7"/>
  <c r="D2" i="7"/>
  <c r="G26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3" i="1"/>
  <c r="G51" i="1"/>
  <c r="G13" i="1"/>
  <c r="G12" i="1"/>
  <c r="G11" i="1"/>
  <c r="G10" i="1"/>
  <c r="G9" i="1"/>
  <c r="G8" i="1"/>
  <c r="G35" i="1"/>
  <c r="G34" i="1"/>
  <c r="G49" i="1"/>
  <c r="G48" i="1"/>
  <c r="G47" i="1"/>
  <c r="G46" i="1"/>
  <c r="G3" i="1"/>
  <c r="G5" i="1"/>
  <c r="G7" i="1"/>
  <c r="G14" i="1"/>
  <c r="G15" i="1"/>
  <c r="G16" i="1"/>
  <c r="G17" i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G32" i="1"/>
  <c r="G33" i="1"/>
  <c r="G36" i="1"/>
  <c r="G37" i="1"/>
  <c r="G38" i="1"/>
  <c r="G39" i="1"/>
  <c r="G40" i="1"/>
  <c r="G41" i="1"/>
  <c r="G42" i="1"/>
  <c r="G43" i="1"/>
  <c r="G44" i="1"/>
  <c r="G45" i="1"/>
</calcChain>
</file>

<file path=xl/sharedStrings.xml><?xml version="1.0" encoding="utf-8"?>
<sst xmlns="http://schemas.openxmlformats.org/spreadsheetml/2006/main" count="443" uniqueCount="53">
  <si>
    <t>地区</t>
    <phoneticPr fontId="1" type="noConversion"/>
  </si>
  <si>
    <t>数量</t>
    <phoneticPr fontId="1" type="noConversion"/>
  </si>
  <si>
    <t>金额</t>
    <phoneticPr fontId="1" type="noConversion"/>
  </si>
  <si>
    <t>华北</t>
    <phoneticPr fontId="1" type="noConversion"/>
  </si>
  <si>
    <t>华东</t>
    <phoneticPr fontId="1" type="noConversion"/>
  </si>
  <si>
    <t>冰箱</t>
    <phoneticPr fontId="1" type="noConversion"/>
  </si>
  <si>
    <t>电视</t>
    <phoneticPr fontId="1" type="noConversion"/>
  </si>
  <si>
    <t>华南</t>
    <phoneticPr fontId="1" type="noConversion"/>
  </si>
  <si>
    <t>规格</t>
    <phoneticPr fontId="1" type="noConversion"/>
  </si>
  <si>
    <t>颜色</t>
    <phoneticPr fontId="1" type="noConversion"/>
  </si>
  <si>
    <t>S1</t>
    <phoneticPr fontId="1" type="noConversion"/>
  </si>
  <si>
    <t>S2</t>
    <phoneticPr fontId="1" type="noConversion"/>
  </si>
  <si>
    <t>日期</t>
    <phoneticPr fontId="1" type="noConversion"/>
  </si>
  <si>
    <t>求和项:数量</t>
  </si>
  <si>
    <t>规格</t>
  </si>
  <si>
    <t>产品</t>
  </si>
  <si>
    <t>S1</t>
  </si>
  <si>
    <t>S2</t>
  </si>
  <si>
    <t>冰箱</t>
  </si>
  <si>
    <t>电视</t>
  </si>
  <si>
    <t>S3</t>
    <phoneticPr fontId="1" type="noConversion"/>
  </si>
  <si>
    <t>S4</t>
    <phoneticPr fontId="1" type="noConversion"/>
  </si>
  <si>
    <t>S5</t>
    <phoneticPr fontId="1" type="noConversion"/>
  </si>
  <si>
    <t>产品表</t>
    <phoneticPr fontId="1" type="noConversion"/>
  </si>
  <si>
    <t>ID</t>
    <phoneticPr fontId="1" type="noConversion"/>
  </si>
  <si>
    <t>名称</t>
    <phoneticPr fontId="1" type="noConversion"/>
  </si>
  <si>
    <t>P01</t>
    <phoneticPr fontId="1" type="noConversion"/>
  </si>
  <si>
    <t>P02</t>
    <phoneticPr fontId="1" type="noConversion"/>
  </si>
  <si>
    <t>P03</t>
    <phoneticPr fontId="1" type="noConversion"/>
  </si>
  <si>
    <t>P04</t>
    <phoneticPr fontId="1" type="noConversion"/>
  </si>
  <si>
    <t>P05</t>
    <phoneticPr fontId="1" type="noConversion"/>
  </si>
  <si>
    <t>手机</t>
    <phoneticPr fontId="1" type="noConversion"/>
  </si>
  <si>
    <t>平板电脑</t>
    <phoneticPr fontId="1" type="noConversion"/>
  </si>
  <si>
    <t>PC机</t>
    <phoneticPr fontId="1" type="noConversion"/>
  </si>
  <si>
    <t>说明</t>
    <phoneticPr fontId="1" type="noConversion"/>
  </si>
  <si>
    <t>规格表</t>
    <phoneticPr fontId="1" type="noConversion"/>
  </si>
  <si>
    <t>小号</t>
    <phoneticPr fontId="1" type="noConversion"/>
  </si>
  <si>
    <t>大号</t>
    <phoneticPr fontId="1" type="noConversion"/>
  </si>
  <si>
    <t>中号</t>
    <phoneticPr fontId="1" type="noConversion"/>
  </si>
  <si>
    <t>加大号</t>
    <phoneticPr fontId="1" type="noConversion"/>
  </si>
  <si>
    <t>超大号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</si>
  <si>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</si>
  <si>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</si>
  <si>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</si>
  <si>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</si>
  <si>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</si>
  <si>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产品</t>
    <phoneticPr fontId="1" type="noConversion"/>
  </si>
  <si>
    <t>P01</t>
    <phoneticPr fontId="1" type="noConversion"/>
  </si>
  <si>
    <t>P02</t>
    <phoneticPr fontId="1" type="noConversion"/>
  </si>
  <si>
    <t>P03</t>
    <phoneticPr fontId="1" type="noConversion"/>
  </si>
  <si>
    <t>P04</t>
    <phoneticPr fontId="1" type="noConversion"/>
  </si>
  <si>
    <t>P05</t>
    <phoneticPr fontId="1" type="noConversion"/>
  </si>
  <si>
    <t>单价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</si>
</sst>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[Demo销售表_最简.xlsx]图表!数据透视表15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求和项</a:t>
            </a:r>
            <a:r>
              <a:rPr lang="en-US" altLang="zh-CN"/>
              <a:t>:</a:t>
            </a:r>
            <a:r>
              <a:rPr lang="zh-CN" altLang="en-US"/>
              <a:t>数量，按 规格 和 产品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图表!$B$3:$B$4</c:f>
              <c:strCache>
                <c:ptCount val="1"/>
                <c:pt idx="0">
                  <c:v>冰箱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图表!$A$5:$A$6</c:f>
              <c:strCache>
                <c:ptCount val="2"/>
                <c:pt idx="0">
                  <c:v>S1</c:v>
                </c:pt>
                <c:pt idx="1">
                  <c:v>S2</c:v>
                </c:pt>
              </c:strCache>
            </c:strRef>
          </c:cat>
          <c:val>
            <c:numRef>
              <c:f>图表!$B$5:$B$6</c:f>
              <c:numCache>
                <c:formatCode>General</c:formatCode>
                <c:ptCount val="2"/>
                <c:pt idx="0">
                  <c:v>455</c:v>
                </c:pt>
                <c:pt idx="1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1-463B-B2D5-7FD7D91C2F33}"/>
            </c:ext>
          </c:extLst>
        </c:ser>
        <c:ser>
          <c:idx val="1"/>
          <c:order val="1"/>
          <c:tx>
            <c:strRef>
              <c:f>图表!$C$3:$C$4</c:f>
              <c:strCache>
                <c:ptCount val="1"/>
                <c:pt idx="0">
                  <c:v>电视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图表!$A$5:$A$6</c:f>
              <c:strCache>
                <c:ptCount val="2"/>
                <c:pt idx="0">
                  <c:v>S1</c:v>
                </c:pt>
                <c:pt idx="1">
                  <c:v>S2</c:v>
                </c:pt>
              </c:strCache>
            </c:strRef>
          </c:cat>
          <c:val>
            <c:numRef>
              <c:f>图表!$C$5:$C$6</c:f>
              <c:numCache>
                <c:formatCode>General</c:formatCode>
                <c:ptCount val="2"/>
                <c:pt idx="0">
                  <c:v>241</c:v>
                </c:pt>
                <c:pt idx="1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1-463B-B2D5-7FD7D91C2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957088"/>
        <c:axId val="634957416"/>
      </c:barChart>
      <c:catAx>
        <c:axId val="6349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957416"/>
        <c:crosses val="autoZero"/>
        <c:auto val="1"/>
        <c:lblAlgn val="ctr"/>
        <c:lblOffset val="100"/>
        <c:noMultiLvlLbl val="0"/>
      </c:catAx>
      <c:valAx>
        <c:axId val="63495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9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185737</xdr:colOff>
      <xdr:row>7</xdr:row>
      <xdr:rowOff>33337</xdr:rowOff>
    </xdr:from>
    <xdr:to>
      <xdr:col>7</xdr:col>
      <xdr:colOff>185737</xdr:colOff>
      <xdr:row>22</xdr:row>
      <xdr:rowOff>61912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D529C95-C454-436A-BAE3-E8272F1A8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gbo Zeng" refreshedDate="45312.410571180553" createdVersion="6" refreshedVersion="6" minRefreshableVersion="3" recordCount="36" xr:uid="{5D468560-2E6B-4E8D-9EA5-6D37E2DE5ADE}">
  <cacheSource type="worksheet">
    <worksheetSource ref="B1:H45" sheet="销售表"/>
  </cacheSource>
  <cacheFields count="8">
    <cacheField name="月份" numFmtId="0">
      <sharedItems containsSemiMixedTypes="0" containsString="0" containsNumber="1" containsInteger="1" minValue="202101" maxValue="202106"/>
    </cacheField>
    <cacheField name="地区" numFmtId="0">
      <sharedItems/>
    </cacheField>
    <cacheField name="产品" numFmtId="0">
      <sharedItems count="2">
        <s v="冰箱"/>
        <s v="电视"/>
      </sharedItems>
    </cacheField>
    <cacheField name="规格" numFmtId="0">
      <sharedItems count="2">
        <s v="S1"/>
        <s v="S2"/>
      </sharedItems>
    </cacheField>
    <cacheField name="颜色" numFmtId="0">
      <sharedItems/>
    </cacheField>
    <cacheField name="数量" numFmtId="0">
      <sharedItems containsSemiMixedTypes="0" containsString="0" containsNumber="1" containsInteger="1" minValue="2" maxValue="300"/>
    </cacheField>
    <cacheField name="金额" numFmtId="0">
      <sharedItems containsSemiMixedTypes="0" containsString="0" containsNumber="1" minValue="400.23" maxValue="60034.5"/>
    </cacheField>
    <cacheField name="日期" numFmtId="14">
      <sharedItems containsSemiMixedTypes="0" containsNonDate="0" containsDate="1" containsString="0" minDate="2021-01-01T00:00:00" maxDate="2021-06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101"/>
    <s v="华东"/>
    <x v="0"/>
    <x v="0"/>
    <s v="黑色"/>
    <n v="50"/>
    <n v="10005.75"/>
    <d v="2021-01-01T00:00:00"/>
  </r>
  <r>
    <n v="202101"/>
    <s v="华东"/>
    <x v="1"/>
    <x v="0"/>
    <s v="白色"/>
    <n v="100"/>
    <n v="20011.5"/>
    <d v="2021-01-02T00:00:00"/>
  </r>
  <r>
    <n v="202101"/>
    <s v="华北"/>
    <x v="0"/>
    <x v="1"/>
    <s v="白色"/>
    <n v="125"/>
    <n v="25014.375"/>
    <d v="2021-01-03T00:00:00"/>
  </r>
  <r>
    <n v="202101"/>
    <s v="华北"/>
    <x v="1"/>
    <x v="1"/>
    <s v="白色"/>
    <n v="300"/>
    <n v="60034.5"/>
    <d v="2021-01-04T00:00:00"/>
  </r>
  <r>
    <n v="202101"/>
    <s v="华南"/>
    <x v="0"/>
    <x v="0"/>
    <s v="白色"/>
    <n v="25"/>
    <n v="5002.875"/>
    <d v="2021-01-05T00:00:00"/>
  </r>
  <r>
    <n v="202101"/>
    <s v="华南"/>
    <x v="1"/>
    <x v="1"/>
    <s v="白色"/>
    <n v="10"/>
    <n v="2001.15"/>
    <d v="2021-01-06T00:00:00"/>
  </r>
  <r>
    <n v="202102"/>
    <s v="华东"/>
    <x v="0"/>
    <x v="0"/>
    <s v="黑色"/>
    <n v="13"/>
    <n v="2601.4949999999999"/>
    <d v="2021-02-01T00:00:00"/>
  </r>
  <r>
    <n v="202102"/>
    <s v="华东"/>
    <x v="1"/>
    <x v="0"/>
    <s v="白色"/>
    <n v="15"/>
    <n v="3001.7250000000004"/>
    <d v="2021-02-02T00:00:00"/>
  </r>
  <r>
    <n v="202102"/>
    <s v="华北"/>
    <x v="0"/>
    <x v="1"/>
    <s v="白色"/>
    <n v="40"/>
    <n v="8004.6"/>
    <d v="2021-02-03T00:00:00"/>
  </r>
  <r>
    <n v="202102"/>
    <s v="华北"/>
    <x v="1"/>
    <x v="1"/>
    <s v="白色"/>
    <n v="35"/>
    <n v="7004.0250000000005"/>
    <d v="2021-02-04T00:00:00"/>
  </r>
  <r>
    <n v="202102"/>
    <s v="华南"/>
    <x v="0"/>
    <x v="0"/>
    <s v="黑色"/>
    <n v="245"/>
    <n v="49028.175000000003"/>
    <d v="2021-02-05T00:00:00"/>
  </r>
  <r>
    <n v="202102"/>
    <s v="华南"/>
    <x v="1"/>
    <x v="1"/>
    <s v="黑色"/>
    <n v="200"/>
    <n v="40023"/>
    <d v="2021-02-06T00:00:00"/>
  </r>
  <r>
    <n v="202103"/>
    <s v="华东"/>
    <x v="0"/>
    <x v="0"/>
    <s v="黑色"/>
    <n v="15"/>
    <n v="3001.7250000000004"/>
    <d v="2021-03-01T00:00:00"/>
  </r>
  <r>
    <n v="202103"/>
    <s v="华东"/>
    <x v="1"/>
    <x v="0"/>
    <s v="黑色"/>
    <n v="10"/>
    <n v="2001.15"/>
    <d v="2021-03-02T00:00:00"/>
  </r>
  <r>
    <n v="202103"/>
    <s v="华北"/>
    <x v="0"/>
    <x v="1"/>
    <s v="黑色"/>
    <n v="11"/>
    <n v="2201.2650000000003"/>
    <d v="2021-03-03T00:00:00"/>
  </r>
  <r>
    <n v="202103"/>
    <s v="华北"/>
    <x v="1"/>
    <x v="1"/>
    <s v="白色"/>
    <n v="12"/>
    <n v="2401.38"/>
    <d v="2021-03-04T00:00:00"/>
  </r>
  <r>
    <n v="202103"/>
    <s v="华南"/>
    <x v="0"/>
    <x v="0"/>
    <s v="黑色"/>
    <n v="20"/>
    <n v="4002.3"/>
    <d v="2021-03-05T00:00:00"/>
  </r>
  <r>
    <n v="202103"/>
    <s v="华南"/>
    <x v="1"/>
    <x v="1"/>
    <s v="白色"/>
    <n v="9"/>
    <n v="1801.0350000000001"/>
    <d v="2021-03-06T00:00:00"/>
  </r>
  <r>
    <n v="202104"/>
    <s v="华东"/>
    <x v="0"/>
    <x v="0"/>
    <s v="黑色"/>
    <n v="31"/>
    <n v="6203.5650000000005"/>
    <d v="2021-04-01T00:00:00"/>
  </r>
  <r>
    <n v="202104"/>
    <s v="华东"/>
    <x v="1"/>
    <x v="0"/>
    <s v="白色"/>
    <n v="99"/>
    <n v="19811.385000000002"/>
    <d v="2021-04-02T00:00:00"/>
  </r>
  <r>
    <n v="202104"/>
    <s v="华北"/>
    <x v="0"/>
    <x v="1"/>
    <s v="黑色"/>
    <n v="29"/>
    <n v="5803.335"/>
    <d v="2021-04-03T00:00:00"/>
  </r>
  <r>
    <n v="202104"/>
    <s v="华北"/>
    <x v="1"/>
    <x v="1"/>
    <s v="黑色"/>
    <n v="30"/>
    <n v="6003.4500000000007"/>
    <d v="2021-04-04T00:00:00"/>
  </r>
  <r>
    <n v="202104"/>
    <s v="华南"/>
    <x v="0"/>
    <x v="0"/>
    <s v="黑色"/>
    <n v="10"/>
    <n v="2001.15"/>
    <d v="2021-04-05T00:00:00"/>
  </r>
  <r>
    <n v="202104"/>
    <s v="华南"/>
    <x v="1"/>
    <x v="1"/>
    <s v="白色"/>
    <n v="12"/>
    <n v="2401.38"/>
    <d v="2021-04-06T00:00:00"/>
  </r>
  <r>
    <n v="202105"/>
    <s v="华东"/>
    <x v="0"/>
    <x v="0"/>
    <s v="黑色"/>
    <n v="5"/>
    <n v="1000.575"/>
    <d v="2021-05-01T00:00:00"/>
  </r>
  <r>
    <n v="202105"/>
    <s v="华东"/>
    <x v="1"/>
    <x v="0"/>
    <s v="白色"/>
    <n v="10"/>
    <n v="2001.15"/>
    <d v="2021-05-02T00:00:00"/>
  </r>
  <r>
    <n v="202105"/>
    <s v="华北"/>
    <x v="0"/>
    <x v="1"/>
    <s v="黑色"/>
    <n v="15"/>
    <n v="3001.7250000000004"/>
    <d v="2021-05-03T00:00:00"/>
  </r>
  <r>
    <n v="202105"/>
    <s v="华北"/>
    <x v="1"/>
    <x v="1"/>
    <s v="黑色"/>
    <n v="12"/>
    <n v="2401.38"/>
    <d v="2021-05-04T00:00:00"/>
  </r>
  <r>
    <n v="202105"/>
    <s v="华南"/>
    <x v="0"/>
    <x v="0"/>
    <s v="白色"/>
    <n v="2"/>
    <n v="400.23"/>
    <d v="2021-05-05T00:00:00"/>
  </r>
  <r>
    <n v="202105"/>
    <s v="华南"/>
    <x v="1"/>
    <x v="1"/>
    <s v="白色"/>
    <n v="9"/>
    <n v="1801.0350000000001"/>
    <d v="2021-05-06T00:00:00"/>
  </r>
  <r>
    <n v="202106"/>
    <s v="华东"/>
    <x v="0"/>
    <x v="0"/>
    <s v="黑色"/>
    <n v="30"/>
    <n v="6003.4500000000007"/>
    <d v="2021-06-01T00:00:00"/>
  </r>
  <r>
    <n v="202106"/>
    <s v="华东"/>
    <x v="1"/>
    <x v="0"/>
    <s v="白色"/>
    <n v="7"/>
    <n v="1400.8050000000001"/>
    <d v="2021-06-02T00:00:00"/>
  </r>
  <r>
    <n v="202106"/>
    <s v="华北"/>
    <x v="0"/>
    <x v="1"/>
    <s v="黑色"/>
    <n v="20"/>
    <n v="4002.3"/>
    <d v="2021-06-03T00:00:00"/>
  </r>
  <r>
    <n v="202106"/>
    <s v="华北"/>
    <x v="1"/>
    <x v="1"/>
    <s v="白色"/>
    <n v="8"/>
    <n v="1600.92"/>
    <d v="2021-06-04T00:00:00"/>
  </r>
  <r>
    <n v="202106"/>
    <s v="华南"/>
    <x v="0"/>
    <x v="0"/>
    <s v="黑色"/>
    <n v="9"/>
    <n v="1801.0350000000001"/>
    <d v="2021-06-05T00:00:00"/>
  </r>
  <r>
    <n v="202106"/>
    <s v="华南"/>
    <x v="1"/>
    <x v="1"/>
    <s v="白色"/>
    <n v="10"/>
    <n v="2001.15"/>
    <d v="2021-06-06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EDCE0-A8EE-478B-98A0-FD1BAE3DAFC5}" name="数据透视表15" cacheId="0" applyNumberFormats="0" applyBorderFormats="0" applyFontFormats="0" applyPatternFormats="0" applyAlignmentFormats="0" applyWidthHeightFormats="1" dataCaption="值" updatedVersion="6" minRefreshableVersion="3" useAutoFormatting="1" rowGrandTotals="0" colGrandTotals="0" itemPrintTitles="1" createdVersion="6" indent="0" compact="0" compactData="0" multipleFieldFilters="0" chartFormat="1">
  <location ref="A3:C6" firstHeaderRow="1" firstDataRow="2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Fields count="1">
    <field x="2"/>
  </colFields>
  <colItems count="2">
    <i>
      <x/>
    </i>
    <i>
      <x v="1"/>
    </i>
  </colItems>
  <dataFields count="1">
    <dataField name="求和项:数量" fld="5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43E2-5A0A-4D79-A0C6-42CC17FE894B}">
  <dimension ref="A1:H97"/>
  <sheetViews>
    <sheetView tabSelected="1" workbookViewId="0">
      <selection activeCell="F10" sqref="F10"/>
    </sheetView>
  </sheetViews>
  <sheetFormatPr defaultRowHeight="14.15" x14ac:dyDescent="0.35"/>
  <cols>
    <col min="6" max="6" width="14.140625" customWidth="1"/>
    <col min="7" max="7" width="15.5" customWidth="1"/>
    <col min="8" max="8" width="11.7109375" customWidth="1"/>
    <col min="9" max="9" width="17.28515625" customWidth="1"/>
  </cols>
  <sheetData>
    <row r="1" spans="1:8" ht="27.75" customHeight="1" x14ac:dyDescent="0.35">
      <c r="A1" s="4" t="s">
        <v>24</v>
      </c>
      <c r="B1" s="4" t="s">
        <v>0</v>
      </c>
      <c r="C1" s="4" t="s">
        <v>46</v>
      </c>
      <c r="D1" s="4" t="s">
        <v>8</v>
      </c>
      <c r="E1" s="4" t="s">
        <v>9</v>
      </c>
      <c r="F1" s="4" t="s">
        <v>1</v>
      </c>
      <c r="G1" s="4" t="s">
        <v>2</v>
      </c>
      <c r="H1" s="4" t="s">
        <v>12</v>
      </c>
    </row>
    <row r="2" spans="1:8" ht="18.75" customHeight="1" x14ac:dyDescent="0.35">
      <c r="A2" s="2">
        <v>1</v>
      </c>
      <c r="B2" s="2" t="s">
        <v>4</v>
      </c>
      <c r="C2" s="2" t="s">
        <v>47</v>
      </c>
      <c r="D2" s="2" t="s">
        <v>10</v>
      </c>
      <c r="E2" s="2" t="s">
        <v>41</v>
      </c>
      <c r="F2" s="2">
        <v>50</v>
      </c>
      <c r="G2" s="2">
        <v>9500.5499999999993</v>
      </c>
      <c r="H2" s="3">
        <v>44197</v>
      </c>
    </row>
    <row r="3" spans="1:8" ht="18.75" customHeight="1" x14ac:dyDescent="0.35">
      <c r="A3" s="2">
        <v>2</v>
      </c>
      <c r="B3" s="2" t="s">
        <v>4</v>
      </c>
      <c r="C3" s="2" t="s">
        <v>48</v>
      </c>
      <c r="D3" s="2" t="s">
        <v>11</v>
      </c>
      <c r="E3" s="2" t="s">
        <v>41</v>
      </c>
      <c r="F3" s="2">
        <v>100</v>
      </c>
      <c r="G3" s="2">
        <f t="shared" ref="G3:G45" si="0">F3*200.115</f>
        <v>20011.5</v>
      </c>
      <c r="H3" s="3">
        <v>44198</v>
      </c>
    </row>
    <row r="4" spans="1:8" ht="18.75" customHeight="1" x14ac:dyDescent="0.35">
      <c r="A4" s="2">
        <v>3</v>
      </c>
      <c r="B4" s="2" t="s">
        <v>3</v>
      </c>
      <c r="C4" s="2" t="s">
        <v>49</v>
      </c>
      <c r="D4" s="2" t="s">
        <v>20</v>
      </c>
      <c r="E4" s="2" t="s">
        <v>42</v>
      </c>
      <c r="F4" s="2">
        <v>125</v>
      </c>
      <c r="G4" s="2">
        <v>15002.5</v>
      </c>
      <c r="H4" s="3">
        <v>44199</v>
      </c>
    </row>
    <row r="5" spans="1:8" ht="18.75" customHeight="1" x14ac:dyDescent="0.35">
      <c r="A5" s="2">
        <v>4</v>
      </c>
      <c r="B5" s="2" t="s">
        <v>3</v>
      </c>
      <c r="C5" s="2" t="s">
        <v>47</v>
      </c>
      <c r="D5" s="2" t="s">
        <v>21</v>
      </c>
      <c r="E5" s="2" t="s">
        <v>42</v>
      </c>
      <c r="F5" s="2">
        <v>300</v>
      </c>
      <c r="G5" s="2">
        <f t="shared" si="0"/>
        <v>60034.5</v>
      </c>
      <c r="H5" s="3">
        <v>44200</v>
      </c>
    </row>
    <row r="6" spans="1:8" ht="18.75" customHeight="1" x14ac:dyDescent="0.35">
      <c r="A6" s="2">
        <v>5</v>
      </c>
      <c r="B6" s="2" t="s">
        <v>7</v>
      </c>
      <c r="C6" s="2" t="s">
        <v>48</v>
      </c>
      <c r="D6" s="2" t="s">
        <v>22</v>
      </c>
      <c r="E6" s="2" t="s">
        <v>43</v>
      </c>
      <c r="F6" s="2">
        <v>25</v>
      </c>
      <c r="G6" s="2">
        <v>21341.8</v>
      </c>
      <c r="H6" s="3">
        <v>44201</v>
      </c>
    </row>
    <row r="7" spans="1:8" ht="18.75" customHeight="1" x14ac:dyDescent="0.35">
      <c r="A7" s="2">
        <v>6</v>
      </c>
      <c r="B7" s="2" t="s">
        <v>7</v>
      </c>
      <c r="C7" s="2" t="s">
        <v>49</v>
      </c>
      <c r="D7" s="2" t="s">
        <v>10</v>
      </c>
      <c r="E7" s="2" t="s">
        <v>43</v>
      </c>
      <c r="F7" s="2">
        <v>10</v>
      </c>
      <c r="G7" s="2">
        <f t="shared" si="0"/>
        <v>2001.15</v>
      </c>
      <c r="H7" s="3">
        <v>44202</v>
      </c>
    </row>
    <row r="8" spans="1:8" ht="18.75" customHeight="1" x14ac:dyDescent="0.35">
      <c r="A8" s="2">
        <v>7</v>
      </c>
      <c r="B8" s="2" t="s">
        <v>4</v>
      </c>
      <c r="C8" s="2" t="s">
        <v>47</v>
      </c>
      <c r="D8" s="2" t="s">
        <v>11</v>
      </c>
      <c r="E8" s="2" t="s">
        <v>44</v>
      </c>
      <c r="F8" s="2">
        <v>50</v>
      </c>
      <c r="G8" s="2">
        <f>F8*200.115</f>
        <v>10005.75</v>
      </c>
      <c r="H8" s="3">
        <v>44197</v>
      </c>
    </row>
    <row r="9" spans="1:8" ht="18.75" customHeight="1" x14ac:dyDescent="0.35">
      <c r="A9" s="2">
        <v>8</v>
      </c>
      <c r="B9" s="2" t="s">
        <v>4</v>
      </c>
      <c r="C9" s="2" t="s">
        <v>48</v>
      </c>
      <c r="D9" s="2" t="s">
        <v>20</v>
      </c>
      <c r="E9" s="2" t="s">
        <v>44</v>
      </c>
      <c r="F9" s="2">
        <v>100</v>
      </c>
      <c r="G9" s="2">
        <f t="shared" ref="G9:G13" si="1">F9*200.115</f>
        <v>20011.5</v>
      </c>
      <c r="H9" s="3">
        <v>44198</v>
      </c>
    </row>
    <row r="10" spans="1:8" ht="18.75" customHeight="1" x14ac:dyDescent="0.35">
      <c r="A10" s="2">
        <v>9</v>
      </c>
      <c r="B10" s="2" t="s">
        <v>3</v>
      </c>
      <c r="C10" s="2" t="s">
        <v>49</v>
      </c>
      <c r="D10" s="2" t="s">
        <v>21</v>
      </c>
      <c r="E10" s="2" t="s">
        <v>45</v>
      </c>
      <c r="F10" s="2">
        <v>125</v>
      </c>
      <c r="G10" s="2">
        <f t="shared" si="1"/>
        <v>25014.375</v>
      </c>
      <c r="H10" s="3">
        <v>44199</v>
      </c>
    </row>
    <row r="11" spans="1:8" ht="18.75" customHeight="1" x14ac:dyDescent="0.35">
      <c r="A11" s="2">
        <v>10</v>
      </c>
      <c r="B11" s="2" t="s">
        <v>3</v>
      </c>
      <c r="C11" s="2" t="s">
        <v>47</v>
      </c>
      <c r="D11" s="2" t="s">
        <v>22</v>
      </c>
      <c r="E11" s="2" t="s">
        <v>45</v>
      </c>
      <c r="F11" s="2">
        <v>300</v>
      </c>
      <c r="G11" s="2">
        <f t="shared" si="1"/>
        <v>60034.5</v>
      </c>
      <c r="H11" s="3">
        <v>44200</v>
      </c>
    </row>
    <row r="12" spans="1:8" ht="18.75" customHeight="1" x14ac:dyDescent="0.35">
      <c r="A12" s="2">
        <v>11</v>
      </c>
      <c r="B12" s="2" t="s">
        <v>7</v>
      </c>
      <c r="C12" s="2" t="s">
        <v>48</v>
      </c>
      <c r="D12" s="2" t="s">
        <v>10</v>
      </c>
      <c r="E12" s="2" t="s">
        <v>41</v>
      </c>
      <c r="F12" s="2">
        <v>25</v>
      </c>
      <c r="G12" s="2">
        <f t="shared" si="1"/>
        <v>5002.875</v>
      </c>
      <c r="H12" s="3">
        <v>44201</v>
      </c>
    </row>
    <row r="13" spans="1:8" ht="18.75" customHeight="1" x14ac:dyDescent="0.35">
      <c r="A13" s="2">
        <v>12</v>
      </c>
      <c r="B13" s="2" t="s">
        <v>7</v>
      </c>
      <c r="C13" s="2" t="s">
        <v>49</v>
      </c>
      <c r="D13" s="2" t="s">
        <v>11</v>
      </c>
      <c r="E13" s="2" t="s">
        <v>42</v>
      </c>
      <c r="F13" s="2">
        <v>10</v>
      </c>
      <c r="G13" s="2">
        <f t="shared" si="1"/>
        <v>2001.15</v>
      </c>
      <c r="H13" s="3">
        <v>44202</v>
      </c>
    </row>
    <row r="14" spans="1:8" ht="18.75" customHeight="1" x14ac:dyDescent="0.35">
      <c r="A14" s="2">
        <v>13</v>
      </c>
      <c r="B14" s="2" t="s">
        <v>4</v>
      </c>
      <c r="C14" s="2" t="s">
        <v>47</v>
      </c>
      <c r="D14" s="2" t="s">
        <v>20</v>
      </c>
      <c r="E14" s="2" t="s">
        <v>45</v>
      </c>
      <c r="F14" s="2">
        <v>13</v>
      </c>
      <c r="G14" s="2">
        <f t="shared" si="0"/>
        <v>2601.4949999999999</v>
      </c>
      <c r="H14" s="3">
        <v>44228</v>
      </c>
    </row>
    <row r="15" spans="1:8" ht="18.75" customHeight="1" x14ac:dyDescent="0.35">
      <c r="A15" s="2">
        <v>14</v>
      </c>
      <c r="B15" s="2" t="s">
        <v>4</v>
      </c>
      <c r="C15" s="2" t="s">
        <v>48</v>
      </c>
      <c r="D15" s="2" t="s">
        <v>21</v>
      </c>
      <c r="E15" s="2" t="s">
        <v>44</v>
      </c>
      <c r="F15" s="2">
        <v>15</v>
      </c>
      <c r="G15" s="2">
        <f t="shared" si="0"/>
        <v>3001.7250000000004</v>
      </c>
      <c r="H15" s="3">
        <v>44229</v>
      </c>
    </row>
    <row r="16" spans="1:8" ht="18.75" customHeight="1" x14ac:dyDescent="0.35">
      <c r="A16" s="2">
        <v>15</v>
      </c>
      <c r="B16" s="2" t="s">
        <v>3</v>
      </c>
      <c r="C16" s="2" t="s">
        <v>49</v>
      </c>
      <c r="D16" s="2" t="s">
        <v>22</v>
      </c>
      <c r="E16" s="2" t="s">
        <v>43</v>
      </c>
      <c r="F16" s="2">
        <v>40</v>
      </c>
      <c r="G16" s="2">
        <f t="shared" si="0"/>
        <v>8004.6</v>
      </c>
      <c r="H16" s="3">
        <v>44230</v>
      </c>
    </row>
    <row r="17" spans="1:8" ht="18.75" customHeight="1" x14ac:dyDescent="0.35">
      <c r="A17" s="2">
        <v>16</v>
      </c>
      <c r="B17" s="2" t="s">
        <v>3</v>
      </c>
      <c r="C17" s="2" t="s">
        <v>47</v>
      </c>
      <c r="D17" s="2" t="s">
        <v>11</v>
      </c>
      <c r="E17" s="2" t="s">
        <v>41</v>
      </c>
      <c r="F17" s="2">
        <v>35</v>
      </c>
      <c r="G17" s="2">
        <f t="shared" si="0"/>
        <v>7004.0250000000005</v>
      </c>
      <c r="H17" s="3">
        <v>44231</v>
      </c>
    </row>
    <row r="18" spans="1:8" ht="18.75" customHeight="1" x14ac:dyDescent="0.35">
      <c r="A18" s="2">
        <v>17</v>
      </c>
      <c r="B18" s="2" t="s">
        <v>7</v>
      </c>
      <c r="C18" s="2" t="s">
        <v>48</v>
      </c>
      <c r="D18" s="2" t="s">
        <v>10</v>
      </c>
      <c r="E18" s="2" t="s">
        <v>41</v>
      </c>
      <c r="F18" s="2">
        <v>245</v>
      </c>
      <c r="G18" s="2">
        <f t="shared" si="0"/>
        <v>49028.175000000003</v>
      </c>
      <c r="H18" s="3">
        <v>44232</v>
      </c>
    </row>
    <row r="19" spans="1:8" ht="18.75" customHeight="1" x14ac:dyDescent="0.35">
      <c r="A19" s="2">
        <v>18</v>
      </c>
      <c r="B19" s="2" t="s">
        <v>7</v>
      </c>
      <c r="C19" s="2" t="s">
        <v>49</v>
      </c>
      <c r="D19" s="2" t="s">
        <v>11</v>
      </c>
      <c r="E19" s="2" t="s">
        <v>42</v>
      </c>
      <c r="F19" s="2">
        <v>200</v>
      </c>
      <c r="G19" s="2">
        <f t="shared" si="0"/>
        <v>40023</v>
      </c>
      <c r="H19" s="3">
        <v>44233</v>
      </c>
    </row>
    <row r="20" spans="1:8" ht="18.75" customHeight="1" x14ac:dyDescent="0.35">
      <c r="A20" s="2">
        <v>19</v>
      </c>
      <c r="B20" s="2" t="s">
        <v>4</v>
      </c>
      <c r="C20" s="2" t="s">
        <v>47</v>
      </c>
      <c r="D20" s="2" t="s">
        <v>20</v>
      </c>
      <c r="E20" s="2" t="s">
        <v>42</v>
      </c>
      <c r="F20" s="2">
        <v>15</v>
      </c>
      <c r="G20" s="2">
        <f t="shared" si="0"/>
        <v>3001.7250000000004</v>
      </c>
      <c r="H20" s="3">
        <v>44256</v>
      </c>
    </row>
    <row r="21" spans="1:8" ht="18.75" customHeight="1" x14ac:dyDescent="0.35">
      <c r="A21" s="2">
        <v>20</v>
      </c>
      <c r="B21" s="2" t="s">
        <v>4</v>
      </c>
      <c r="C21" s="2" t="s">
        <v>48</v>
      </c>
      <c r="D21" s="2" t="s">
        <v>21</v>
      </c>
      <c r="E21" s="2" t="s">
        <v>43</v>
      </c>
      <c r="F21" s="2">
        <v>10</v>
      </c>
      <c r="G21" s="2">
        <f t="shared" si="0"/>
        <v>2001.15</v>
      </c>
      <c r="H21" s="3">
        <v>44257</v>
      </c>
    </row>
    <row r="22" spans="1:8" ht="18.75" customHeight="1" x14ac:dyDescent="0.35">
      <c r="A22" s="2">
        <v>21</v>
      </c>
      <c r="B22" s="2" t="s">
        <v>3</v>
      </c>
      <c r="C22" s="2" t="s">
        <v>49</v>
      </c>
      <c r="D22" s="2" t="s">
        <v>22</v>
      </c>
      <c r="E22" s="2" t="s">
        <v>43</v>
      </c>
      <c r="F22" s="2">
        <v>11</v>
      </c>
      <c r="G22" s="2">
        <f t="shared" si="0"/>
        <v>2201.2650000000003</v>
      </c>
      <c r="H22" s="3">
        <v>44258</v>
      </c>
    </row>
    <row r="23" spans="1:8" ht="18.75" customHeight="1" x14ac:dyDescent="0.35">
      <c r="A23" s="2">
        <v>22</v>
      </c>
      <c r="B23" s="2" t="s">
        <v>3</v>
      </c>
      <c r="C23" s="2" t="s">
        <v>50</v>
      </c>
      <c r="D23" s="2" t="s">
        <v>11</v>
      </c>
      <c r="E23" s="2" t="s">
        <v>44</v>
      </c>
      <c r="F23" s="2">
        <v>12</v>
      </c>
      <c r="G23" s="2">
        <f t="shared" si="0"/>
        <v>2401.38</v>
      </c>
      <c r="H23" s="3">
        <v>44259</v>
      </c>
    </row>
    <row r="24" spans="1:8" ht="18.75" customHeight="1" x14ac:dyDescent="0.35">
      <c r="A24" s="2">
        <v>23</v>
      </c>
      <c r="B24" s="2" t="s">
        <v>7</v>
      </c>
      <c r="C24" s="2" t="s">
        <v>51</v>
      </c>
      <c r="D24" s="2" t="s">
        <v>10</v>
      </c>
      <c r="E24" s="2" t="s">
        <v>44</v>
      </c>
      <c r="F24" s="2">
        <v>20</v>
      </c>
      <c r="G24" s="2">
        <f t="shared" si="0"/>
        <v>4002.3</v>
      </c>
      <c r="H24" s="3">
        <v>44260</v>
      </c>
    </row>
    <row r="25" spans="1:8" ht="18.75" customHeight="1" x14ac:dyDescent="0.35">
      <c r="A25" s="2">
        <v>24</v>
      </c>
      <c r="B25" s="2" t="s">
        <v>7</v>
      </c>
      <c r="C25" s="2" t="s">
        <v>47</v>
      </c>
      <c r="D25" s="2" t="s">
        <v>11</v>
      </c>
      <c r="E25" s="2" t="s">
        <v>45</v>
      </c>
      <c r="F25" s="2">
        <v>9</v>
      </c>
      <c r="G25" s="2">
        <f t="shared" si="0"/>
        <v>1801.0350000000001</v>
      </c>
      <c r="H25" s="3">
        <v>44261</v>
      </c>
    </row>
    <row r="26" spans="1:8" ht="18.75" customHeight="1" x14ac:dyDescent="0.35">
      <c r="A26" s="2">
        <v>25</v>
      </c>
      <c r="B26" s="2" t="s">
        <v>4</v>
      </c>
      <c r="C26" s="2" t="s">
        <v>48</v>
      </c>
      <c r="D26" s="2" t="s">
        <v>10</v>
      </c>
      <c r="E26" s="2" t="s">
        <v>45</v>
      </c>
      <c r="F26" s="2">
        <v>25</v>
      </c>
      <c r="G26" s="2">
        <f>F26*200.115</f>
        <v>5002.875</v>
      </c>
      <c r="H26" s="3">
        <v>44652</v>
      </c>
    </row>
    <row r="27" spans="1:8" ht="18.75" customHeight="1" x14ac:dyDescent="0.35">
      <c r="A27" s="2">
        <v>26</v>
      </c>
      <c r="B27" s="2" t="s">
        <v>4</v>
      </c>
      <c r="C27" s="2" t="s">
        <v>49</v>
      </c>
      <c r="D27" s="2" t="s">
        <v>10</v>
      </c>
      <c r="E27" s="2" t="s">
        <v>41</v>
      </c>
      <c r="F27" s="2">
        <v>199</v>
      </c>
      <c r="G27" s="2">
        <f t="shared" si="0"/>
        <v>39822.885000000002</v>
      </c>
      <c r="H27" s="3">
        <v>44653</v>
      </c>
    </row>
    <row r="28" spans="1:8" ht="18.75" customHeight="1" x14ac:dyDescent="0.35">
      <c r="A28" s="2">
        <v>27</v>
      </c>
      <c r="B28" s="2" t="s">
        <v>3</v>
      </c>
      <c r="C28" s="2" t="s">
        <v>50</v>
      </c>
      <c r="D28" s="2" t="s">
        <v>11</v>
      </c>
      <c r="E28" s="2" t="s">
        <v>42</v>
      </c>
      <c r="F28" s="2">
        <v>89</v>
      </c>
      <c r="G28" s="2">
        <f t="shared" si="0"/>
        <v>17810.235000000001</v>
      </c>
      <c r="H28" s="3">
        <v>44654</v>
      </c>
    </row>
    <row r="29" spans="1:8" ht="18.75" customHeight="1" x14ac:dyDescent="0.35">
      <c r="A29" s="2">
        <v>28</v>
      </c>
      <c r="B29" s="2" t="s">
        <v>3</v>
      </c>
      <c r="C29" s="2" t="s">
        <v>47</v>
      </c>
      <c r="D29" s="2" t="s">
        <v>11</v>
      </c>
      <c r="E29" s="2" t="s">
        <v>45</v>
      </c>
      <c r="F29" s="2">
        <v>41</v>
      </c>
      <c r="G29" s="2">
        <f t="shared" si="0"/>
        <v>8204.7150000000001</v>
      </c>
      <c r="H29" s="3">
        <v>44655</v>
      </c>
    </row>
    <row r="30" spans="1:8" ht="18.75" customHeight="1" x14ac:dyDescent="0.35">
      <c r="A30" s="2">
        <v>29</v>
      </c>
      <c r="B30" s="2" t="s">
        <v>7</v>
      </c>
      <c r="C30" s="2" t="s">
        <v>48</v>
      </c>
      <c r="D30" s="2" t="s">
        <v>20</v>
      </c>
      <c r="E30" s="2" t="s">
        <v>44</v>
      </c>
      <c r="F30" s="2">
        <v>5</v>
      </c>
      <c r="G30" s="2">
        <f t="shared" si="0"/>
        <v>1000.575</v>
      </c>
      <c r="H30" s="3">
        <v>44656</v>
      </c>
    </row>
    <row r="31" spans="1:8" ht="18.75" customHeight="1" x14ac:dyDescent="0.35">
      <c r="A31" s="2">
        <v>30</v>
      </c>
      <c r="B31" s="2" t="s">
        <v>7</v>
      </c>
      <c r="C31" s="2" t="s">
        <v>49</v>
      </c>
      <c r="D31" s="2" t="s">
        <v>21</v>
      </c>
      <c r="E31" s="2" t="s">
        <v>43</v>
      </c>
      <c r="F31" s="2">
        <v>13</v>
      </c>
      <c r="G31" s="2">
        <f t="shared" si="0"/>
        <v>2601.4949999999999</v>
      </c>
      <c r="H31" s="3">
        <v>44657</v>
      </c>
    </row>
    <row r="32" spans="1:8" ht="18.75" customHeight="1" x14ac:dyDescent="0.35">
      <c r="A32" s="2">
        <v>31</v>
      </c>
      <c r="B32" s="2" t="s">
        <v>4</v>
      </c>
      <c r="C32" s="2" t="s">
        <v>50</v>
      </c>
      <c r="D32" s="2" t="s">
        <v>22</v>
      </c>
      <c r="E32" s="2" t="s">
        <v>41</v>
      </c>
      <c r="F32" s="2">
        <v>7</v>
      </c>
      <c r="G32" s="2">
        <f t="shared" si="0"/>
        <v>1400.8050000000001</v>
      </c>
      <c r="H32" s="3">
        <v>44658</v>
      </c>
    </row>
    <row r="33" spans="1:8" ht="18.75" customHeight="1" x14ac:dyDescent="0.35">
      <c r="A33" s="2">
        <v>32</v>
      </c>
      <c r="B33" s="2" t="s">
        <v>4</v>
      </c>
      <c r="C33" s="2" t="s">
        <v>51</v>
      </c>
      <c r="D33" s="2" t="s">
        <v>10</v>
      </c>
      <c r="E33" s="2" t="s">
        <v>41</v>
      </c>
      <c r="F33" s="2">
        <v>9</v>
      </c>
      <c r="G33" s="2">
        <f t="shared" si="0"/>
        <v>1801.0350000000001</v>
      </c>
      <c r="H33" s="3">
        <v>44659</v>
      </c>
    </row>
    <row r="34" spans="1:8" ht="18.75" customHeight="1" x14ac:dyDescent="0.35">
      <c r="A34" s="2">
        <v>33</v>
      </c>
      <c r="B34" s="2" t="s">
        <v>4</v>
      </c>
      <c r="C34" s="2" t="s">
        <v>47</v>
      </c>
      <c r="D34" s="2" t="s">
        <v>10</v>
      </c>
      <c r="E34" s="2" t="s">
        <v>42</v>
      </c>
      <c r="F34" s="2">
        <v>20</v>
      </c>
      <c r="G34" s="2">
        <f t="shared" ref="G34:G35" si="2">F34*200.115</f>
        <v>4002.3</v>
      </c>
      <c r="H34" s="3">
        <v>44660</v>
      </c>
    </row>
    <row r="35" spans="1:8" ht="18.75" customHeight="1" x14ac:dyDescent="0.35">
      <c r="A35" s="2">
        <v>34</v>
      </c>
      <c r="B35" s="2" t="s">
        <v>4</v>
      </c>
      <c r="C35" s="2" t="s">
        <v>48</v>
      </c>
      <c r="D35" s="2" t="s">
        <v>20</v>
      </c>
      <c r="E35" s="2" t="s">
        <v>42</v>
      </c>
      <c r="F35" s="2">
        <v>23</v>
      </c>
      <c r="G35" s="2">
        <f t="shared" si="2"/>
        <v>4602.6450000000004</v>
      </c>
      <c r="H35" s="3">
        <v>44661</v>
      </c>
    </row>
    <row r="36" spans="1:8" ht="18.75" customHeight="1" x14ac:dyDescent="0.35">
      <c r="A36" s="2">
        <v>35</v>
      </c>
      <c r="B36" s="2" t="s">
        <v>3</v>
      </c>
      <c r="C36" s="2" t="s">
        <v>49</v>
      </c>
      <c r="D36" s="2" t="s">
        <v>21</v>
      </c>
      <c r="E36" s="2" t="s">
        <v>43</v>
      </c>
      <c r="F36" s="2">
        <v>25</v>
      </c>
      <c r="G36" s="2">
        <f t="shared" si="0"/>
        <v>5002.875</v>
      </c>
      <c r="H36" s="3">
        <v>44662</v>
      </c>
    </row>
    <row r="37" spans="1:8" ht="18.75" customHeight="1" x14ac:dyDescent="0.35">
      <c r="A37" s="2">
        <v>36</v>
      </c>
      <c r="B37" s="2" t="s">
        <v>3</v>
      </c>
      <c r="C37" s="2" t="s">
        <v>50</v>
      </c>
      <c r="D37" s="2" t="s">
        <v>22</v>
      </c>
      <c r="E37" s="2" t="s">
        <v>41</v>
      </c>
      <c r="F37" s="2">
        <v>12</v>
      </c>
      <c r="G37" s="2">
        <f t="shared" si="0"/>
        <v>2401.38</v>
      </c>
      <c r="H37" s="3">
        <v>44663</v>
      </c>
    </row>
    <row r="38" spans="1:8" ht="18.75" customHeight="1" x14ac:dyDescent="0.35">
      <c r="A38" s="2">
        <v>37</v>
      </c>
      <c r="B38" s="2" t="s">
        <v>7</v>
      </c>
      <c r="C38" s="2" t="s">
        <v>47</v>
      </c>
      <c r="D38" s="2" t="s">
        <v>10</v>
      </c>
      <c r="E38" s="2" t="s">
        <v>41</v>
      </c>
      <c r="F38" s="2">
        <v>8</v>
      </c>
      <c r="G38" s="2">
        <f t="shared" si="0"/>
        <v>1600.92</v>
      </c>
      <c r="H38" s="3">
        <v>44664</v>
      </c>
    </row>
    <row r="39" spans="1:8" ht="18.75" customHeight="1" x14ac:dyDescent="0.35">
      <c r="A39" s="2">
        <v>38</v>
      </c>
      <c r="B39" s="2" t="s">
        <v>7</v>
      </c>
      <c r="C39" s="2" t="s">
        <v>48</v>
      </c>
      <c r="D39" s="2" t="s">
        <v>11</v>
      </c>
      <c r="E39" s="2" t="s">
        <v>42</v>
      </c>
      <c r="F39" s="2">
        <v>10</v>
      </c>
      <c r="G39" s="2">
        <f t="shared" si="0"/>
        <v>2001.15</v>
      </c>
      <c r="H39" s="3">
        <v>44665</v>
      </c>
    </row>
    <row r="40" spans="1:8" ht="18.75" customHeight="1" x14ac:dyDescent="0.35">
      <c r="A40" s="2">
        <v>39</v>
      </c>
      <c r="B40" s="2" t="s">
        <v>4</v>
      </c>
      <c r="C40" s="2" t="s">
        <v>49</v>
      </c>
      <c r="D40" s="2" t="s">
        <v>10</v>
      </c>
      <c r="E40" s="2" t="s">
        <v>42</v>
      </c>
      <c r="F40" s="2">
        <v>13</v>
      </c>
      <c r="G40" s="2">
        <f t="shared" si="0"/>
        <v>2601.4949999999999</v>
      </c>
      <c r="H40" s="3">
        <v>44666</v>
      </c>
    </row>
    <row r="41" spans="1:8" ht="18.75" customHeight="1" x14ac:dyDescent="0.35">
      <c r="A41" s="2">
        <v>40</v>
      </c>
      <c r="B41" s="2" t="s">
        <v>4</v>
      </c>
      <c r="C41" s="2" t="s">
        <v>47</v>
      </c>
      <c r="D41" s="2" t="s">
        <v>10</v>
      </c>
      <c r="E41" s="2" t="s">
        <v>43</v>
      </c>
      <c r="F41" s="2">
        <v>15</v>
      </c>
      <c r="G41" s="2">
        <f t="shared" si="0"/>
        <v>3001.7250000000004</v>
      </c>
      <c r="H41" s="3">
        <v>44667</v>
      </c>
    </row>
    <row r="42" spans="1:8" ht="18.75" customHeight="1" x14ac:dyDescent="0.35">
      <c r="A42" s="2">
        <v>41</v>
      </c>
      <c r="B42" s="2" t="s">
        <v>3</v>
      </c>
      <c r="C42" s="2" t="s">
        <v>48</v>
      </c>
      <c r="D42" s="2" t="s">
        <v>11</v>
      </c>
      <c r="E42" s="2" t="s">
        <v>43</v>
      </c>
      <c r="F42" s="2">
        <v>25</v>
      </c>
      <c r="G42" s="2">
        <f t="shared" si="0"/>
        <v>5002.875</v>
      </c>
      <c r="H42" s="3">
        <v>44668</v>
      </c>
    </row>
    <row r="43" spans="1:8" ht="18.75" customHeight="1" x14ac:dyDescent="0.35">
      <c r="A43" s="2">
        <v>42</v>
      </c>
      <c r="B43" s="2" t="s">
        <v>3</v>
      </c>
      <c r="C43" s="2" t="s">
        <v>49</v>
      </c>
      <c r="D43" s="2" t="s">
        <v>20</v>
      </c>
      <c r="E43" s="2" t="s">
        <v>44</v>
      </c>
      <c r="F43" s="2">
        <v>9</v>
      </c>
      <c r="G43" s="2">
        <f t="shared" si="0"/>
        <v>1801.0350000000001</v>
      </c>
      <c r="H43" s="3">
        <v>44669</v>
      </c>
    </row>
    <row r="44" spans="1:8" ht="18.75" customHeight="1" x14ac:dyDescent="0.35">
      <c r="A44" s="2">
        <v>43</v>
      </c>
      <c r="B44" s="2" t="s">
        <v>7</v>
      </c>
      <c r="C44" s="2" t="s">
        <v>50</v>
      </c>
      <c r="D44" s="2" t="s">
        <v>21</v>
      </c>
      <c r="E44" s="2" t="s">
        <v>44</v>
      </c>
      <c r="F44" s="2">
        <v>10</v>
      </c>
      <c r="G44" s="2">
        <f t="shared" si="0"/>
        <v>2001.15</v>
      </c>
      <c r="H44" s="3">
        <v>44670</v>
      </c>
    </row>
    <row r="45" spans="1:8" ht="18.75" customHeight="1" x14ac:dyDescent="0.35">
      <c r="A45" s="2">
        <v>44</v>
      </c>
      <c r="B45" s="2" t="s">
        <v>7</v>
      </c>
      <c r="C45" s="2" t="s">
        <v>51</v>
      </c>
      <c r="D45" s="2" t="s">
        <v>22</v>
      </c>
      <c r="E45" s="2" t="s">
        <v>45</v>
      </c>
      <c r="F45" s="2">
        <v>12</v>
      </c>
      <c r="G45" s="2">
        <f t="shared" si="0"/>
        <v>2401.38</v>
      </c>
      <c r="H45" s="3">
        <v>44671</v>
      </c>
    </row>
    <row r="46" spans="1:8" ht="18.75" customHeight="1" x14ac:dyDescent="0.35">
      <c r="A46" s="2">
        <v>45</v>
      </c>
      <c r="B46" s="2" t="s">
        <v>3</v>
      </c>
      <c r="C46" s="2" t="s">
        <v>47</v>
      </c>
      <c r="D46" s="2" t="s">
        <v>11</v>
      </c>
      <c r="E46" s="2" t="s">
        <v>45</v>
      </c>
      <c r="F46" s="2">
        <v>1</v>
      </c>
      <c r="G46" s="2">
        <f t="shared" ref="G46:G49" si="3">F46*200.115</f>
        <v>200.11500000000001</v>
      </c>
      <c r="H46" s="3">
        <v>44672</v>
      </c>
    </row>
    <row r="47" spans="1:8" ht="18.75" customHeight="1" x14ac:dyDescent="0.35">
      <c r="A47" s="2">
        <v>46</v>
      </c>
      <c r="B47" s="2" t="s">
        <v>3</v>
      </c>
      <c r="C47" s="2" t="s">
        <v>48</v>
      </c>
      <c r="D47" s="2" t="s">
        <v>11</v>
      </c>
      <c r="E47" s="2" t="s">
        <v>41</v>
      </c>
      <c r="F47" s="2">
        <v>15</v>
      </c>
      <c r="G47" s="2">
        <f t="shared" si="3"/>
        <v>3001.7250000000004</v>
      </c>
      <c r="H47" s="3">
        <v>44673</v>
      </c>
    </row>
    <row r="48" spans="1:8" ht="18.75" customHeight="1" x14ac:dyDescent="0.35">
      <c r="A48" s="2">
        <v>47</v>
      </c>
      <c r="B48" s="2" t="s">
        <v>7</v>
      </c>
      <c r="C48" s="2" t="s">
        <v>49</v>
      </c>
      <c r="D48" s="2" t="s">
        <v>10</v>
      </c>
      <c r="E48" s="2" t="s">
        <v>42</v>
      </c>
      <c r="F48" s="2">
        <v>29</v>
      </c>
      <c r="G48" s="2">
        <f t="shared" si="3"/>
        <v>5803.335</v>
      </c>
      <c r="H48" s="3">
        <v>44674</v>
      </c>
    </row>
    <row r="49" spans="1:8" ht="18.75" customHeight="1" x14ac:dyDescent="0.35">
      <c r="A49" s="2">
        <v>48</v>
      </c>
      <c r="B49" s="2" t="s">
        <v>7</v>
      </c>
      <c r="C49" s="2" t="s">
        <v>50</v>
      </c>
      <c r="D49" s="2" t="s">
        <v>11</v>
      </c>
      <c r="E49" s="2" t="s">
        <v>45</v>
      </c>
      <c r="F49" s="2">
        <v>20</v>
      </c>
      <c r="G49" s="2">
        <f t="shared" si="3"/>
        <v>4002.3</v>
      </c>
      <c r="H49" s="3">
        <v>44675</v>
      </c>
    </row>
    <row r="50" spans="1:8" ht="18.75" customHeight="1" x14ac:dyDescent="0.35">
      <c r="A50" s="2">
        <v>49</v>
      </c>
      <c r="B50" s="2" t="s">
        <v>4</v>
      </c>
      <c r="C50" s="2" t="s">
        <v>47</v>
      </c>
      <c r="D50" s="2" t="s">
        <v>10</v>
      </c>
      <c r="E50" s="2" t="s">
        <v>44</v>
      </c>
      <c r="F50" s="2">
        <v>55</v>
      </c>
      <c r="G50" s="2">
        <v>9500.5499999999993</v>
      </c>
      <c r="H50" s="3">
        <v>44927</v>
      </c>
    </row>
    <row r="51" spans="1:8" ht="18.75" customHeight="1" x14ac:dyDescent="0.35">
      <c r="A51" s="2">
        <v>50</v>
      </c>
      <c r="B51" s="2" t="s">
        <v>4</v>
      </c>
      <c r="C51" s="2" t="s">
        <v>48</v>
      </c>
      <c r="D51" s="2" t="s">
        <v>11</v>
      </c>
      <c r="E51" s="2" t="s">
        <v>43</v>
      </c>
      <c r="F51" s="2">
        <v>100</v>
      </c>
      <c r="G51" s="2">
        <f t="shared" ref="G51" si="4">F51*200.115</f>
        <v>20011.5</v>
      </c>
      <c r="H51" s="3">
        <v>44928</v>
      </c>
    </row>
    <row r="52" spans="1:8" ht="18.75" customHeight="1" x14ac:dyDescent="0.35">
      <c r="A52" s="2">
        <v>51</v>
      </c>
      <c r="B52" s="2" t="s">
        <v>3</v>
      </c>
      <c r="C52" s="2" t="s">
        <v>49</v>
      </c>
      <c r="D52" s="2" t="s">
        <v>20</v>
      </c>
      <c r="E52" s="2" t="s">
        <v>41</v>
      </c>
      <c r="F52" s="2">
        <v>125</v>
      </c>
      <c r="G52" s="2">
        <v>15002.5</v>
      </c>
      <c r="H52" s="3">
        <v>44929</v>
      </c>
    </row>
    <row r="53" spans="1:8" ht="18.75" customHeight="1" x14ac:dyDescent="0.35">
      <c r="A53" s="2">
        <v>52</v>
      </c>
      <c r="B53" s="2" t="s">
        <v>3</v>
      </c>
      <c r="C53" s="2" t="s">
        <v>50</v>
      </c>
      <c r="D53" s="2" t="s">
        <v>21</v>
      </c>
      <c r="E53" s="2" t="s">
        <v>41</v>
      </c>
      <c r="F53" s="2">
        <v>300</v>
      </c>
      <c r="G53" s="2">
        <f t="shared" ref="G53" si="5">F53*200.115</f>
        <v>60034.5</v>
      </c>
      <c r="H53" s="3">
        <v>44930</v>
      </c>
    </row>
    <row r="54" spans="1:8" ht="18.75" customHeight="1" x14ac:dyDescent="0.35">
      <c r="A54" s="2">
        <v>53</v>
      </c>
      <c r="B54" s="2" t="s">
        <v>7</v>
      </c>
      <c r="C54" s="2" t="s">
        <v>51</v>
      </c>
      <c r="D54" s="2" t="s">
        <v>22</v>
      </c>
      <c r="E54" s="2" t="s">
        <v>41</v>
      </c>
      <c r="F54" s="2">
        <v>225</v>
      </c>
      <c r="G54" s="2">
        <v>21341.8</v>
      </c>
      <c r="H54" s="3">
        <v>44931</v>
      </c>
    </row>
    <row r="55" spans="1:8" ht="18.75" customHeight="1" x14ac:dyDescent="0.35">
      <c r="A55" s="2">
        <v>54</v>
      </c>
      <c r="B55" s="2" t="s">
        <v>7</v>
      </c>
      <c r="C55" s="2" t="s">
        <v>47</v>
      </c>
      <c r="D55" s="2" t="s">
        <v>10</v>
      </c>
      <c r="E55" s="2" t="s">
        <v>41</v>
      </c>
      <c r="F55" s="2">
        <v>25</v>
      </c>
      <c r="G55" s="2">
        <f t="shared" ref="G55" si="6">F55*200.115</f>
        <v>5002.875</v>
      </c>
      <c r="H55" s="3">
        <v>44932</v>
      </c>
    </row>
    <row r="56" spans="1:8" ht="18.75" customHeight="1" x14ac:dyDescent="0.35">
      <c r="A56" s="2">
        <v>55</v>
      </c>
      <c r="B56" s="2" t="s">
        <v>4</v>
      </c>
      <c r="C56" s="2" t="s">
        <v>48</v>
      </c>
      <c r="D56" s="2" t="s">
        <v>11</v>
      </c>
      <c r="E56" s="2" t="s">
        <v>42</v>
      </c>
      <c r="F56" s="2">
        <v>58</v>
      </c>
      <c r="G56" s="2">
        <f>F56*200.115</f>
        <v>11606.67</v>
      </c>
      <c r="H56" s="3">
        <v>44933</v>
      </c>
    </row>
    <row r="57" spans="1:8" ht="18.75" customHeight="1" x14ac:dyDescent="0.35">
      <c r="A57" s="2">
        <v>56</v>
      </c>
      <c r="B57" s="2" t="s">
        <v>4</v>
      </c>
      <c r="C57" s="2" t="s">
        <v>49</v>
      </c>
      <c r="D57" s="2" t="s">
        <v>20</v>
      </c>
      <c r="E57" s="2" t="s">
        <v>42</v>
      </c>
      <c r="F57" s="2">
        <v>125</v>
      </c>
      <c r="G57" s="2">
        <f t="shared" ref="G57:G97" si="7">F57*200.115</f>
        <v>25014.375</v>
      </c>
      <c r="H57" s="3">
        <v>44934</v>
      </c>
    </row>
    <row r="58" spans="1:8" ht="18.75" customHeight="1" x14ac:dyDescent="0.35">
      <c r="A58" s="2">
        <v>57</v>
      </c>
      <c r="B58" s="2" t="s">
        <v>3</v>
      </c>
      <c r="C58" s="2" t="s">
        <v>50</v>
      </c>
      <c r="D58" s="2" t="s">
        <v>21</v>
      </c>
      <c r="E58" s="2" t="s">
        <v>43</v>
      </c>
      <c r="F58" s="2">
        <v>225</v>
      </c>
      <c r="G58" s="2">
        <f t="shared" si="7"/>
        <v>45025.875</v>
      </c>
      <c r="H58" s="3">
        <v>44935</v>
      </c>
    </row>
    <row r="59" spans="1:8" ht="18.75" customHeight="1" x14ac:dyDescent="0.35">
      <c r="A59" s="2">
        <v>58</v>
      </c>
      <c r="B59" s="2" t="s">
        <v>3</v>
      </c>
      <c r="C59" s="2" t="s">
        <v>51</v>
      </c>
      <c r="D59" s="2" t="s">
        <v>22</v>
      </c>
      <c r="E59" s="2" t="s">
        <v>43</v>
      </c>
      <c r="F59" s="2">
        <v>125</v>
      </c>
      <c r="G59" s="2">
        <f t="shared" si="7"/>
        <v>25014.375</v>
      </c>
      <c r="H59" s="3">
        <v>44936</v>
      </c>
    </row>
    <row r="60" spans="1:8" ht="18.75" customHeight="1" x14ac:dyDescent="0.35">
      <c r="A60" s="2">
        <v>59</v>
      </c>
      <c r="B60" s="2" t="s">
        <v>7</v>
      </c>
      <c r="C60" s="2" t="s">
        <v>47</v>
      </c>
      <c r="D60" s="2" t="s">
        <v>10</v>
      </c>
      <c r="E60" s="2" t="s">
        <v>44</v>
      </c>
      <c r="F60" s="2">
        <v>225</v>
      </c>
      <c r="G60" s="2">
        <f t="shared" si="7"/>
        <v>45025.875</v>
      </c>
      <c r="H60" s="3">
        <v>44937</v>
      </c>
    </row>
    <row r="61" spans="1:8" ht="18.75" customHeight="1" x14ac:dyDescent="0.35">
      <c r="A61" s="2">
        <v>60</v>
      </c>
      <c r="B61" s="2" t="s">
        <v>7</v>
      </c>
      <c r="C61" s="2" t="s">
        <v>48</v>
      </c>
      <c r="D61" s="2" t="s">
        <v>11</v>
      </c>
      <c r="E61" s="2" t="s">
        <v>44</v>
      </c>
      <c r="F61" s="2">
        <v>222</v>
      </c>
      <c r="G61" s="2">
        <f t="shared" si="7"/>
        <v>44425.53</v>
      </c>
      <c r="H61" s="3">
        <v>44938</v>
      </c>
    </row>
    <row r="62" spans="1:8" ht="18.75" customHeight="1" x14ac:dyDescent="0.35">
      <c r="A62" s="2">
        <v>61</v>
      </c>
      <c r="B62" s="2" t="s">
        <v>4</v>
      </c>
      <c r="C62" s="2" t="s">
        <v>49</v>
      </c>
      <c r="D62" s="2" t="s">
        <v>20</v>
      </c>
      <c r="E62" s="2" t="s">
        <v>45</v>
      </c>
      <c r="F62" s="2">
        <v>50</v>
      </c>
      <c r="G62" s="2">
        <f t="shared" si="7"/>
        <v>10005.75</v>
      </c>
      <c r="H62" s="3">
        <v>44939</v>
      </c>
    </row>
    <row r="63" spans="1:8" ht="18.75" customHeight="1" x14ac:dyDescent="0.35">
      <c r="A63" s="2">
        <v>62</v>
      </c>
      <c r="B63" s="2" t="s">
        <v>4</v>
      </c>
      <c r="C63" s="2" t="s">
        <v>50</v>
      </c>
      <c r="D63" s="2" t="s">
        <v>21</v>
      </c>
      <c r="E63" s="2" t="s">
        <v>45</v>
      </c>
      <c r="F63" s="2">
        <v>50</v>
      </c>
      <c r="G63" s="2">
        <f t="shared" si="7"/>
        <v>10005.75</v>
      </c>
      <c r="H63" s="3">
        <v>44940</v>
      </c>
    </row>
    <row r="64" spans="1:8" ht="18.75" customHeight="1" x14ac:dyDescent="0.35">
      <c r="A64" s="2">
        <v>63</v>
      </c>
      <c r="B64" s="2" t="s">
        <v>3</v>
      </c>
      <c r="C64" s="2" t="s">
        <v>47</v>
      </c>
      <c r="D64" s="2" t="s">
        <v>22</v>
      </c>
      <c r="E64" s="2" t="s">
        <v>41</v>
      </c>
      <c r="F64" s="2">
        <v>80</v>
      </c>
      <c r="G64" s="2">
        <f t="shared" si="7"/>
        <v>16009.2</v>
      </c>
      <c r="H64" s="3">
        <v>44941</v>
      </c>
    </row>
    <row r="65" spans="1:8" ht="18.75" customHeight="1" x14ac:dyDescent="0.35">
      <c r="A65" s="2">
        <v>64</v>
      </c>
      <c r="B65" s="2" t="s">
        <v>3</v>
      </c>
      <c r="C65" s="2" t="s">
        <v>48</v>
      </c>
      <c r="D65" s="2" t="s">
        <v>11</v>
      </c>
      <c r="E65" s="2" t="s">
        <v>42</v>
      </c>
      <c r="F65" s="2">
        <v>35</v>
      </c>
      <c r="G65" s="2">
        <f t="shared" si="7"/>
        <v>7004.0250000000005</v>
      </c>
      <c r="H65" s="3">
        <v>44942</v>
      </c>
    </row>
    <row r="66" spans="1:8" ht="18.75" customHeight="1" x14ac:dyDescent="0.35">
      <c r="A66" s="2">
        <v>65</v>
      </c>
      <c r="B66" s="2" t="s">
        <v>7</v>
      </c>
      <c r="C66" s="2" t="s">
        <v>49</v>
      </c>
      <c r="D66" s="2" t="s">
        <v>10</v>
      </c>
      <c r="E66" s="2" t="s">
        <v>45</v>
      </c>
      <c r="F66" s="2">
        <v>245</v>
      </c>
      <c r="G66" s="2">
        <f t="shared" si="7"/>
        <v>49028.175000000003</v>
      </c>
      <c r="H66" s="3">
        <v>44943</v>
      </c>
    </row>
    <row r="67" spans="1:8" ht="18.75" customHeight="1" x14ac:dyDescent="0.35">
      <c r="A67" s="2">
        <v>66</v>
      </c>
      <c r="B67" s="2" t="s">
        <v>7</v>
      </c>
      <c r="C67" s="2" t="s">
        <v>50</v>
      </c>
      <c r="D67" s="2" t="s">
        <v>11</v>
      </c>
      <c r="E67" s="2" t="s">
        <v>44</v>
      </c>
      <c r="F67" s="2">
        <v>200</v>
      </c>
      <c r="G67" s="2">
        <f t="shared" si="7"/>
        <v>40023</v>
      </c>
      <c r="H67" s="3">
        <v>44944</v>
      </c>
    </row>
    <row r="68" spans="1:8" ht="18.75" customHeight="1" x14ac:dyDescent="0.35">
      <c r="A68" s="2">
        <v>67</v>
      </c>
      <c r="B68" s="2" t="s">
        <v>4</v>
      </c>
      <c r="C68" s="2" t="s">
        <v>51</v>
      </c>
      <c r="D68" s="2" t="s">
        <v>20</v>
      </c>
      <c r="E68" s="2" t="s">
        <v>41</v>
      </c>
      <c r="F68" s="2">
        <v>15</v>
      </c>
      <c r="G68" s="2">
        <f t="shared" si="7"/>
        <v>3001.7250000000004</v>
      </c>
      <c r="H68" s="3">
        <v>44945</v>
      </c>
    </row>
    <row r="69" spans="1:8" ht="18.75" customHeight="1" x14ac:dyDescent="0.35">
      <c r="A69" s="2">
        <v>68</v>
      </c>
      <c r="B69" s="2" t="s">
        <v>4</v>
      </c>
      <c r="C69" s="2" t="s">
        <v>47</v>
      </c>
      <c r="D69" s="2" t="s">
        <v>21</v>
      </c>
      <c r="E69" s="2" t="s">
        <v>41</v>
      </c>
      <c r="F69" s="2">
        <v>29</v>
      </c>
      <c r="G69" s="2">
        <f t="shared" si="7"/>
        <v>5803.335</v>
      </c>
      <c r="H69" s="3">
        <v>44946</v>
      </c>
    </row>
    <row r="70" spans="1:8" ht="18.75" customHeight="1" x14ac:dyDescent="0.35">
      <c r="A70" s="2">
        <v>69</v>
      </c>
      <c r="B70" s="2" t="s">
        <v>3</v>
      </c>
      <c r="C70" s="2" t="s">
        <v>48</v>
      </c>
      <c r="D70" s="2" t="s">
        <v>22</v>
      </c>
      <c r="E70" s="2" t="s">
        <v>42</v>
      </c>
      <c r="F70" s="2">
        <v>80</v>
      </c>
      <c r="G70" s="2">
        <f t="shared" si="7"/>
        <v>16009.2</v>
      </c>
      <c r="H70" s="3">
        <v>44947</v>
      </c>
    </row>
    <row r="71" spans="1:8" ht="18.75" customHeight="1" x14ac:dyDescent="0.35">
      <c r="A71" s="2">
        <v>70</v>
      </c>
      <c r="B71" s="2" t="s">
        <v>3</v>
      </c>
      <c r="C71" s="2" t="s">
        <v>49</v>
      </c>
      <c r="D71" s="2" t="s">
        <v>11</v>
      </c>
      <c r="E71" s="2" t="s">
        <v>42</v>
      </c>
      <c r="F71" s="2">
        <v>29</v>
      </c>
      <c r="G71" s="2">
        <f t="shared" si="7"/>
        <v>5803.335</v>
      </c>
      <c r="H71" s="3">
        <v>44948</v>
      </c>
    </row>
    <row r="72" spans="1:8" ht="18.75" customHeight="1" x14ac:dyDescent="0.35">
      <c r="A72" s="2">
        <v>71</v>
      </c>
      <c r="B72" s="2" t="s">
        <v>7</v>
      </c>
      <c r="C72" s="2" t="s">
        <v>50</v>
      </c>
      <c r="D72" s="2" t="s">
        <v>10</v>
      </c>
      <c r="E72" s="2" t="s">
        <v>43</v>
      </c>
      <c r="F72" s="2">
        <v>80</v>
      </c>
      <c r="G72" s="2">
        <f t="shared" si="7"/>
        <v>16009.2</v>
      </c>
      <c r="H72" s="3">
        <v>44949</v>
      </c>
    </row>
    <row r="73" spans="1:8" ht="18.75" customHeight="1" x14ac:dyDescent="0.35">
      <c r="A73" s="2">
        <v>72</v>
      </c>
      <c r="B73" s="2" t="s">
        <v>7</v>
      </c>
      <c r="C73" s="2" t="s">
        <v>47</v>
      </c>
      <c r="D73" s="2" t="s">
        <v>11</v>
      </c>
      <c r="E73" s="2" t="s">
        <v>43</v>
      </c>
      <c r="F73" s="2">
        <v>22</v>
      </c>
      <c r="G73" s="2">
        <f t="shared" si="7"/>
        <v>4402.5300000000007</v>
      </c>
      <c r="H73" s="3">
        <v>44950</v>
      </c>
    </row>
    <row r="74" spans="1:8" ht="18.75" customHeight="1" x14ac:dyDescent="0.35">
      <c r="A74" s="2">
        <v>73</v>
      </c>
      <c r="B74" s="2" t="s">
        <v>4</v>
      </c>
      <c r="C74" s="2" t="s">
        <v>48</v>
      </c>
      <c r="D74" s="2" t="s">
        <v>10</v>
      </c>
      <c r="E74" s="2" t="s">
        <v>44</v>
      </c>
      <c r="F74" s="2">
        <v>99</v>
      </c>
      <c r="G74" s="2">
        <f t="shared" si="7"/>
        <v>19811.385000000002</v>
      </c>
      <c r="H74" s="3">
        <v>45383</v>
      </c>
    </row>
    <row r="75" spans="1:8" ht="18.75" customHeight="1" x14ac:dyDescent="0.35">
      <c r="A75" s="2">
        <v>74</v>
      </c>
      <c r="B75" s="2" t="s">
        <v>4</v>
      </c>
      <c r="C75" s="2" t="s">
        <v>49</v>
      </c>
      <c r="D75" s="2" t="s">
        <v>10</v>
      </c>
      <c r="E75" s="2" t="s">
        <v>44</v>
      </c>
      <c r="F75" s="2">
        <v>199</v>
      </c>
      <c r="G75" s="2">
        <f t="shared" si="7"/>
        <v>39822.885000000002</v>
      </c>
      <c r="H75" s="3">
        <v>45384</v>
      </c>
    </row>
    <row r="76" spans="1:8" ht="18.75" customHeight="1" x14ac:dyDescent="0.35">
      <c r="A76" s="2">
        <v>75</v>
      </c>
      <c r="B76" s="2" t="s">
        <v>3</v>
      </c>
      <c r="C76" s="2" t="s">
        <v>47</v>
      </c>
      <c r="D76" s="2" t="s">
        <v>11</v>
      </c>
      <c r="E76" s="2" t="s">
        <v>45</v>
      </c>
      <c r="F76" s="2">
        <v>29</v>
      </c>
      <c r="G76" s="2">
        <f t="shared" si="7"/>
        <v>5803.335</v>
      </c>
      <c r="H76" s="3">
        <v>45385</v>
      </c>
    </row>
    <row r="77" spans="1:8" ht="18.75" customHeight="1" x14ac:dyDescent="0.35">
      <c r="A77" s="2">
        <v>76</v>
      </c>
      <c r="B77" s="2" t="s">
        <v>3</v>
      </c>
      <c r="C77" s="2" t="s">
        <v>47</v>
      </c>
      <c r="D77" s="2" t="s">
        <v>11</v>
      </c>
      <c r="E77" s="2" t="s">
        <v>45</v>
      </c>
      <c r="F77" s="2">
        <v>300</v>
      </c>
      <c r="G77" s="2">
        <f t="shared" si="7"/>
        <v>60034.5</v>
      </c>
      <c r="H77" s="3">
        <v>45386</v>
      </c>
    </row>
    <row r="78" spans="1:8" ht="18.75" customHeight="1" x14ac:dyDescent="0.35">
      <c r="A78" s="2">
        <v>77</v>
      </c>
      <c r="B78" s="2" t="s">
        <v>7</v>
      </c>
      <c r="C78" s="2" t="s">
        <v>48</v>
      </c>
      <c r="D78" s="2" t="s">
        <v>20</v>
      </c>
      <c r="E78" s="2" t="s">
        <v>41</v>
      </c>
      <c r="F78" s="2">
        <v>123</v>
      </c>
      <c r="G78" s="2">
        <f t="shared" si="7"/>
        <v>24614.145</v>
      </c>
      <c r="H78" s="3">
        <v>45387</v>
      </c>
    </row>
    <row r="79" spans="1:8" ht="18.75" customHeight="1" x14ac:dyDescent="0.35">
      <c r="A79" s="2">
        <v>78</v>
      </c>
      <c r="B79" s="2" t="s">
        <v>7</v>
      </c>
      <c r="C79" s="2" t="s">
        <v>49</v>
      </c>
      <c r="D79" s="2" t="s">
        <v>21</v>
      </c>
      <c r="E79" s="2" t="s">
        <v>42</v>
      </c>
      <c r="F79" s="2">
        <v>15</v>
      </c>
      <c r="G79" s="2">
        <f t="shared" si="7"/>
        <v>3001.7250000000004</v>
      </c>
      <c r="H79" s="3">
        <v>45388</v>
      </c>
    </row>
    <row r="80" spans="1:8" ht="18.75" customHeight="1" x14ac:dyDescent="0.35">
      <c r="A80" s="2">
        <v>79</v>
      </c>
      <c r="B80" s="2" t="s">
        <v>4</v>
      </c>
      <c r="C80" s="2" t="s">
        <v>50</v>
      </c>
      <c r="D80" s="2" t="s">
        <v>22</v>
      </c>
      <c r="E80" s="2" t="s">
        <v>45</v>
      </c>
      <c r="F80" s="2">
        <v>50</v>
      </c>
      <c r="G80" s="2">
        <f t="shared" si="7"/>
        <v>10005.75</v>
      </c>
      <c r="H80" s="3">
        <v>45389</v>
      </c>
    </row>
    <row r="81" spans="1:8" ht="18.75" customHeight="1" x14ac:dyDescent="0.35">
      <c r="A81" s="2">
        <v>80</v>
      </c>
      <c r="B81" s="2" t="s">
        <v>4</v>
      </c>
      <c r="C81" s="2" t="s">
        <v>51</v>
      </c>
      <c r="D81" s="2" t="s">
        <v>10</v>
      </c>
      <c r="E81" s="2" t="s">
        <v>44</v>
      </c>
      <c r="F81" s="2">
        <v>70</v>
      </c>
      <c r="G81" s="2">
        <f t="shared" si="7"/>
        <v>14008.050000000001</v>
      </c>
      <c r="H81" s="3">
        <v>45390</v>
      </c>
    </row>
    <row r="82" spans="1:8" ht="18.75" customHeight="1" x14ac:dyDescent="0.35">
      <c r="A82" s="2">
        <v>81</v>
      </c>
      <c r="B82" s="2" t="s">
        <v>4</v>
      </c>
      <c r="C82" s="2" t="s">
        <v>47</v>
      </c>
      <c r="D82" s="2" t="s">
        <v>10</v>
      </c>
      <c r="E82" s="2" t="s">
        <v>43</v>
      </c>
      <c r="F82" s="2">
        <v>50</v>
      </c>
      <c r="G82" s="2">
        <f t="shared" si="7"/>
        <v>10005.75</v>
      </c>
      <c r="H82" s="3">
        <v>45391</v>
      </c>
    </row>
    <row r="83" spans="1:8" ht="18.75" customHeight="1" x14ac:dyDescent="0.35">
      <c r="A83" s="2">
        <v>82</v>
      </c>
      <c r="B83" s="2" t="s">
        <v>4</v>
      </c>
      <c r="C83" s="2" t="s">
        <v>48</v>
      </c>
      <c r="D83" s="2" t="s">
        <v>20</v>
      </c>
      <c r="E83" s="2" t="s">
        <v>41</v>
      </c>
      <c r="F83" s="2">
        <v>100</v>
      </c>
      <c r="G83" s="2">
        <f t="shared" si="7"/>
        <v>20011.5</v>
      </c>
      <c r="H83" s="3">
        <v>45392</v>
      </c>
    </row>
    <row r="84" spans="1:8" ht="18.75" customHeight="1" x14ac:dyDescent="0.35">
      <c r="A84" s="2">
        <v>83</v>
      </c>
      <c r="B84" s="2" t="s">
        <v>3</v>
      </c>
      <c r="C84" s="2" t="s">
        <v>49</v>
      </c>
      <c r="D84" s="2" t="s">
        <v>21</v>
      </c>
      <c r="E84" s="2" t="s">
        <v>41</v>
      </c>
      <c r="F84" s="2">
        <v>5</v>
      </c>
      <c r="G84" s="2">
        <f t="shared" si="7"/>
        <v>1000.575</v>
      </c>
      <c r="H84" s="3">
        <v>45393</v>
      </c>
    </row>
    <row r="85" spans="1:8" ht="18.75" customHeight="1" x14ac:dyDescent="0.35">
      <c r="A85" s="2">
        <v>84</v>
      </c>
      <c r="B85" s="2" t="s">
        <v>3</v>
      </c>
      <c r="C85" s="2" t="s">
        <v>50</v>
      </c>
      <c r="D85" s="2" t="s">
        <v>22</v>
      </c>
      <c r="E85" s="2" t="s">
        <v>42</v>
      </c>
      <c r="F85" s="2">
        <v>9</v>
      </c>
      <c r="G85" s="2">
        <f t="shared" si="7"/>
        <v>1801.0350000000001</v>
      </c>
      <c r="H85" s="3">
        <v>45394</v>
      </c>
    </row>
    <row r="86" spans="1:8" ht="18.75" customHeight="1" x14ac:dyDescent="0.35">
      <c r="A86" s="2">
        <v>85</v>
      </c>
      <c r="B86" s="2" t="s">
        <v>7</v>
      </c>
      <c r="C86" s="2" t="s">
        <v>47</v>
      </c>
      <c r="D86" s="2" t="s">
        <v>10</v>
      </c>
      <c r="E86" s="2" t="s">
        <v>41</v>
      </c>
      <c r="F86" s="2">
        <v>10</v>
      </c>
      <c r="G86" s="2">
        <f t="shared" si="7"/>
        <v>2001.15</v>
      </c>
      <c r="H86" s="3">
        <v>45395</v>
      </c>
    </row>
    <row r="87" spans="1:8" ht="18.75" customHeight="1" x14ac:dyDescent="0.35">
      <c r="A87" s="2">
        <v>86</v>
      </c>
      <c r="B87" s="2" t="s">
        <v>7</v>
      </c>
      <c r="C87" s="2" t="s">
        <v>48</v>
      </c>
      <c r="D87" s="2" t="s">
        <v>11</v>
      </c>
      <c r="E87" s="2" t="s">
        <v>41</v>
      </c>
      <c r="F87" s="2">
        <v>90</v>
      </c>
      <c r="G87" s="2">
        <f t="shared" si="7"/>
        <v>18010.350000000002</v>
      </c>
      <c r="H87" s="3">
        <v>45396</v>
      </c>
    </row>
    <row r="88" spans="1:8" ht="18.75" customHeight="1" x14ac:dyDescent="0.35">
      <c r="A88" s="2">
        <v>87</v>
      </c>
      <c r="B88" s="2" t="s">
        <v>4</v>
      </c>
      <c r="C88" s="2" t="s">
        <v>49</v>
      </c>
      <c r="D88" s="2" t="s">
        <v>10</v>
      </c>
      <c r="E88" s="2" t="s">
        <v>42</v>
      </c>
      <c r="F88" s="2">
        <v>10</v>
      </c>
      <c r="G88" s="2">
        <f t="shared" si="7"/>
        <v>2001.15</v>
      </c>
      <c r="H88" s="3">
        <v>45397</v>
      </c>
    </row>
    <row r="89" spans="1:8" ht="18.75" customHeight="1" x14ac:dyDescent="0.35">
      <c r="A89" s="2">
        <v>88</v>
      </c>
      <c r="B89" s="2" t="s">
        <v>4</v>
      </c>
      <c r="C89" s="2" t="s">
        <v>47</v>
      </c>
      <c r="D89" s="2" t="s">
        <v>10</v>
      </c>
      <c r="E89" s="2" t="s">
        <v>42</v>
      </c>
      <c r="F89" s="2">
        <v>5</v>
      </c>
      <c r="G89" s="2">
        <f t="shared" si="7"/>
        <v>1000.575</v>
      </c>
      <c r="H89" s="3">
        <v>45398</v>
      </c>
    </row>
    <row r="90" spans="1:8" ht="18.75" customHeight="1" x14ac:dyDescent="0.35">
      <c r="A90" s="2">
        <v>89</v>
      </c>
      <c r="B90" s="2" t="s">
        <v>3</v>
      </c>
      <c r="C90" s="2" t="s">
        <v>48</v>
      </c>
      <c r="D90" s="2" t="s">
        <v>11</v>
      </c>
      <c r="E90" s="2" t="s">
        <v>43</v>
      </c>
      <c r="F90" s="2">
        <v>18</v>
      </c>
      <c r="G90" s="2">
        <f t="shared" si="7"/>
        <v>3602.07</v>
      </c>
      <c r="H90" s="3">
        <v>45399</v>
      </c>
    </row>
    <row r="91" spans="1:8" ht="18.75" customHeight="1" x14ac:dyDescent="0.35">
      <c r="A91" s="2">
        <v>90</v>
      </c>
      <c r="B91" s="2" t="s">
        <v>3</v>
      </c>
      <c r="C91" s="2" t="s">
        <v>49</v>
      </c>
      <c r="D91" s="2" t="s">
        <v>20</v>
      </c>
      <c r="E91" s="2" t="s">
        <v>43</v>
      </c>
      <c r="F91" s="2">
        <v>50</v>
      </c>
      <c r="G91" s="2">
        <f t="shared" si="7"/>
        <v>10005.75</v>
      </c>
      <c r="H91" s="3">
        <v>45400</v>
      </c>
    </row>
    <row r="92" spans="1:8" ht="18.75" customHeight="1" x14ac:dyDescent="0.35">
      <c r="A92" s="2">
        <v>91</v>
      </c>
      <c r="B92" s="2" t="s">
        <v>7</v>
      </c>
      <c r="C92" s="2" t="s">
        <v>50</v>
      </c>
      <c r="D92" s="2" t="s">
        <v>21</v>
      </c>
      <c r="E92" s="2" t="s">
        <v>44</v>
      </c>
      <c r="F92" s="2">
        <v>40</v>
      </c>
      <c r="G92" s="2">
        <f t="shared" si="7"/>
        <v>8004.6</v>
      </c>
      <c r="H92" s="3">
        <v>45401</v>
      </c>
    </row>
    <row r="93" spans="1:8" ht="18.75" customHeight="1" x14ac:dyDescent="0.35">
      <c r="A93" s="2">
        <v>92</v>
      </c>
      <c r="B93" s="2" t="s">
        <v>7</v>
      </c>
      <c r="C93" s="2" t="s">
        <v>51</v>
      </c>
      <c r="D93" s="2" t="s">
        <v>22</v>
      </c>
      <c r="E93" s="2" t="s">
        <v>44</v>
      </c>
      <c r="F93" s="2">
        <v>30</v>
      </c>
      <c r="G93" s="2">
        <f t="shared" si="7"/>
        <v>6003.4500000000007</v>
      </c>
      <c r="H93" s="3">
        <v>45402</v>
      </c>
    </row>
    <row r="94" spans="1:8" ht="18.75" customHeight="1" x14ac:dyDescent="0.35">
      <c r="A94" s="2">
        <v>93</v>
      </c>
      <c r="B94" s="2" t="s">
        <v>3</v>
      </c>
      <c r="C94" s="2" t="s">
        <v>47</v>
      </c>
      <c r="D94" s="2" t="s">
        <v>11</v>
      </c>
      <c r="E94" s="2" t="s">
        <v>45</v>
      </c>
      <c r="F94" s="2">
        <v>40</v>
      </c>
      <c r="G94" s="2">
        <f t="shared" si="7"/>
        <v>8004.6</v>
      </c>
      <c r="H94" s="3">
        <v>45403</v>
      </c>
    </row>
    <row r="95" spans="1:8" ht="18.75" customHeight="1" x14ac:dyDescent="0.35">
      <c r="A95" s="2">
        <v>94</v>
      </c>
      <c r="B95" s="2" t="s">
        <v>3</v>
      </c>
      <c r="C95" s="2" t="s">
        <v>48</v>
      </c>
      <c r="D95" s="2" t="s">
        <v>11</v>
      </c>
      <c r="E95" s="2" t="s">
        <v>45</v>
      </c>
      <c r="F95" s="2">
        <v>99</v>
      </c>
      <c r="G95" s="2">
        <f t="shared" si="7"/>
        <v>19811.385000000002</v>
      </c>
      <c r="H95" s="3">
        <v>45404</v>
      </c>
    </row>
    <row r="96" spans="1:8" ht="18.75" customHeight="1" x14ac:dyDescent="0.35">
      <c r="A96" s="2">
        <v>95</v>
      </c>
      <c r="B96" s="2" t="s">
        <v>7</v>
      </c>
      <c r="C96" s="2" t="s">
        <v>49</v>
      </c>
      <c r="D96" s="2" t="s">
        <v>10</v>
      </c>
      <c r="E96" s="2" t="s">
        <v>41</v>
      </c>
      <c r="F96" s="2">
        <v>70</v>
      </c>
      <c r="G96" s="2">
        <f t="shared" si="7"/>
        <v>14008.050000000001</v>
      </c>
      <c r="H96" s="3">
        <v>45405</v>
      </c>
    </row>
    <row r="97" spans="1:8" ht="18.75" customHeight="1" x14ac:dyDescent="0.35">
      <c r="A97" s="2">
        <v>96</v>
      </c>
      <c r="B97" s="2" t="s">
        <v>7</v>
      </c>
      <c r="C97" s="2" t="s">
        <v>50</v>
      </c>
      <c r="D97" s="2" t="s">
        <v>11</v>
      </c>
      <c r="E97" s="2" t="s">
        <v>42</v>
      </c>
      <c r="F97" s="2">
        <v>80</v>
      </c>
      <c r="G97" s="2">
        <f t="shared" si="7"/>
        <v>16009.2</v>
      </c>
      <c r="H97" s="3">
        <v>45406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DDA5-66D8-4B04-8D6E-58AC5040B867}">
  <dimension ref="A1:C7"/>
  <sheetViews>
    <sheetView workbookViewId="0">
      <selection sqref="A1:C7"/>
    </sheetView>
  </sheetViews>
  <sheetFormatPr defaultRowHeight="14.15" x14ac:dyDescent="0.35"/>
  <cols>
    <col min="1" max="1" width="10.5" customWidth="1"/>
    <col min="2" max="3" width="18.140625" customWidth="1"/>
  </cols>
  <sheetData>
    <row r="1" spans="1:3" ht="24.75" customHeight="1" x14ac:dyDescent="0.35">
      <c r="A1" s="6" t="s">
        <v>35</v>
      </c>
      <c r="B1" s="6"/>
      <c r="C1" s="6"/>
    </row>
    <row r="2" spans="1:3" ht="23.25" customHeight="1" x14ac:dyDescent="0.35">
      <c r="A2" s="5" t="s">
        <v>24</v>
      </c>
      <c r="B2" s="5" t="s">
        <v>25</v>
      </c>
      <c r="C2" s="5" t="s">
        <v>34</v>
      </c>
    </row>
    <row r="3" spans="1:3" ht="23.25" customHeight="1" x14ac:dyDescent="0.35">
      <c r="A3" s="2" t="s">
        <v>10</v>
      </c>
      <c r="B3" s="2" t="s">
        <v>36</v>
      </c>
      <c r="C3" s="2" t="s">
        <v>36</v>
      </c>
    </row>
    <row r="4" spans="1:3" ht="23.25" customHeight="1" x14ac:dyDescent="0.35">
      <c r="A4" s="2" t="s">
        <v>11</v>
      </c>
      <c r="B4" s="2" t="s">
        <v>38</v>
      </c>
      <c r="C4" s="2" t="s">
        <v>38</v>
      </c>
    </row>
    <row r="5" spans="1:3" ht="23.25" customHeight="1" x14ac:dyDescent="0.35">
      <c r="A5" s="2" t="s">
        <v>20</v>
      </c>
      <c r="B5" s="2" t="s">
        <v>37</v>
      </c>
      <c r="C5" s="2" t="s">
        <v>37</v>
      </c>
    </row>
    <row r="6" spans="1:3" ht="23.25" customHeight="1" x14ac:dyDescent="0.35">
      <c r="A6" s="2" t="s">
        <v>21</v>
      </c>
      <c r="B6" s="2" t="s">
        <v>39</v>
      </c>
      <c r="C6" s="2" t="s">
        <v>39</v>
      </c>
    </row>
    <row r="7" spans="1:3" ht="23.25" customHeight="1" x14ac:dyDescent="0.35">
      <c r="A7" s="2" t="s">
        <v>22</v>
      </c>
      <c r="B7" s="2" t="s">
        <v>40</v>
      </c>
      <c r="C7" s="2" t="s">
        <v>40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8D03-EC6F-479F-B36C-3BF586A4B4B8}">
  <dimension ref="A1:C7"/>
  <sheetViews>
    <sheetView workbookViewId="0">
      <selection sqref="A1:C7"/>
    </sheetView>
  </sheetViews>
  <sheetFormatPr defaultRowHeight="14.15" x14ac:dyDescent="0.35"/>
  <cols>
    <col min="1" max="1" width="10.5" customWidth="1"/>
    <col min="2" max="2" width="20.7109375" customWidth="1"/>
    <col min="3" max="3" width="23" customWidth="1"/>
  </cols>
  <sheetData>
    <row r="1" spans="1:3" ht="25.5" customHeight="1" x14ac:dyDescent="0.35">
      <c r="A1" s="6" t="s">
        <v>23</v>
      </c>
      <c r="B1" s="6"/>
      <c r="C1" s="6"/>
    </row>
    <row r="2" spans="1:3" ht="21.75" customHeight="1" x14ac:dyDescent="0.35">
      <c r="A2" s="5" t="s">
        <v>24</v>
      </c>
      <c r="B2" s="5" t="s">
        <v>25</v>
      </c>
      <c r="C2" s="5" t="s">
        <v>34</v>
      </c>
    </row>
    <row r="3" spans="1:3" ht="23.25" customHeight="1" x14ac:dyDescent="0.35">
      <c r="A3" s="2" t="s">
        <v>26</v>
      </c>
      <c r="B3" s="2" t="s">
        <v>5</v>
      </c>
      <c r="C3" s="2" t="s">
        <v>5</v>
      </c>
    </row>
    <row r="4" spans="1:3" ht="23.25" customHeight="1" x14ac:dyDescent="0.35">
      <c r="A4" s="2" t="s">
        <v>27</v>
      </c>
      <c r="B4" s="2" t="s">
        <v>6</v>
      </c>
      <c r="C4" s="2" t="s">
        <v>6</v>
      </c>
    </row>
    <row r="5" spans="1:3" ht="23.25" customHeight="1" x14ac:dyDescent="0.35">
      <c r="A5" s="2" t="s">
        <v>28</v>
      </c>
      <c r="B5" s="2" t="s">
        <v>31</v>
      </c>
      <c r="C5" s="2" t="s">
        <v>31</v>
      </c>
    </row>
    <row r="6" spans="1:3" ht="23.25" customHeight="1" x14ac:dyDescent="0.35">
      <c r="A6" s="2" t="s">
        <v>29</v>
      </c>
      <c r="B6" s="2" t="s">
        <v>32</v>
      </c>
      <c r="C6" s="2" t="s">
        <v>32</v>
      </c>
    </row>
    <row r="7" spans="1:3" ht="23.25" customHeight="1" x14ac:dyDescent="0.35">
      <c r="A7" s="2" t="s">
        <v>30</v>
      </c>
      <c r="B7" s="2" t="s">
        <v>33</v>
      </c>
      <c r="C7" s="2" t="s">
        <v>33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9810-1662-4758-A01D-9DB8A4A7D732}">
  <dimension ref="A1:D4"/>
  <sheetViews>
    <sheetView workbookViewId="0">
      <selection activeCell="D14" sqref="D14"/>
    </sheetView>
  </sheetViews>
  <sheetFormatPr defaultRowHeight="14.15" x14ac:dyDescent="0.35"/>
  <sheetData>
    <row r="1" spans="1:4" x14ac:dyDescent="0.35">
      <c r="A1" t="s">
        <v>46</v>
      </c>
      <c r="B1" t="s">
        <v>52</v>
      </c>
      <c r="C1" t="s">
        <v>1</v>
      </c>
      <c r="D1" t="s">
        <v>2</v>
      </c>
    </row>
    <row r="2" spans="1:4" x14ac:dyDescent="0.35">
      <c r="A2" t="s">
        <v>26</v>
      </c>
      <c r="B2">
        <v>10.5</v>
      </c>
      <c r="C2">
        <v>10</v>
      </c>
      <c r="D2">
        <f>SUM(B2:C2)</f>
        <v>20.5</v>
      </c>
    </row>
    <row r="3" spans="1:4" x14ac:dyDescent="0.35">
      <c r="A3" t="s">
        <v>27</v>
      </c>
      <c r="B3">
        <v>20.5</v>
      </c>
      <c r="C3">
        <v>20</v>
      </c>
      <c r="D3">
        <f>SUM(B3:C3)</f>
        <v>40.5</v>
      </c>
    </row>
    <row r="4" spans="1:4" x14ac:dyDescent="0.35">
      <c r="B4">
        <f>SUM(B2:B3)</f>
        <v>31</v>
      </c>
      <c r="C4">
        <f>SUM(C2:C3)</f>
        <v>30</v>
      </c>
      <c r="D4">
        <f>SUM(D2:D3)</f>
        <v>61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8176-24F3-4294-A7DE-D6762E6BCBAA}">
  <dimension ref="A3:C6"/>
  <sheetViews>
    <sheetView workbookViewId="0">
      <selection activeCell="K30" sqref="K30"/>
    </sheetView>
  </sheetViews>
  <sheetFormatPr defaultRowHeight="14.15" x14ac:dyDescent="0.35"/>
  <cols>
    <col min="1" max="1" width="11.5" bestFit="1" customWidth="1"/>
    <col min="2" max="2" width="7.2109375" bestFit="1" customWidth="1"/>
    <col min="3" max="3" width="5.2109375" bestFit="1" customWidth="1"/>
  </cols>
  <sheetData>
    <row r="3" spans="1:3" x14ac:dyDescent="0.35">
      <c r="A3" s="1" t="s">
        <v>13</v>
      </c>
      <c r="B3" s="1" t="s">
        <v>15</v>
      </c>
    </row>
    <row r="4" spans="1:3" x14ac:dyDescent="0.35">
      <c r="A4" s="1" t="s">
        <v>14</v>
      </c>
      <c r="B4" t="s">
        <v>18</v>
      </c>
      <c r="C4" t="s">
        <v>19</v>
      </c>
    </row>
    <row r="5" spans="1:3" x14ac:dyDescent="0.35">
      <c r="A5" t="s">
        <v>16</v>
      </c>
      <c r="B5">
        <v>455</v>
      </c>
      <c r="C5">
        <v>241</v>
      </c>
    </row>
    <row r="6" spans="1:3" x14ac:dyDescent="0.35">
      <c r="A6" t="s">
        <v>17</v>
      </c>
      <c r="B6">
        <v>240</v>
      </c>
      <c r="C6">
        <v>647</v>
      </c>
    </row>
  </sheetData>
  <phoneticPr fontId="1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销售表</vt:lpstr>
      <vt:lpstr>规格表</vt:lpstr>
      <vt:lpstr>产品表</vt:lpstr>
      <vt:lpstr>公式测试</vt:lpstr>
      <vt:lpstr>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Lingbo Zeng</dc:creator>
  <cp:lastModifiedBy>Lingbo Zeng</cp:lastModifiedBy>
  <dcterms:created xsi:type="dcterms:W3CDTF">2023-01-05T01:22:43Z</dcterms:created>
  <dcterms:modified xsi:type="dcterms:W3CDTF">2025-12-16T04:43:37Z</dcterms:modified>
</cp:coreProperties>
</file>
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\"/>
    </mc:Choice>
  </mc:AlternateContent>
  <xr:revisionPtr revIDLastSave="0" documentId="8_{525EFE78-D19A-4EF0-8E25-75692CEFE280}" xr6:coauthVersionLast="47" xr6:coauthVersionMax="47" xr10:uidLastSave="{00000000-0000-0000-0000-000000000000}"/>
  <bookViews>
    <workbookView xWindow="-103" yWindow="-103" windowWidth="26537" windowHeight="15943" xr2:uid="{3F18D550-044F-45D8-8601-3E4A18EBA8C8}"/>
  </bookViews>
  <sheets>
    <sheet name="主要财务指标（报表数）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________________________________________________________sp">6</definedName>
    <definedName name="___________________________________________________________sp_1">6</definedName>
    <definedName name="__________________________________________________________sp">6</definedName>
    <definedName name="__________________________________________________________sp_1">6</definedName>
    <definedName name="_________________________________________________________sp">6</definedName>
    <definedName name="_________________________________________________________sp_1">6</definedName>
    <definedName name="________________________________________________________sp">6</definedName>
    <definedName name="________________________________________________________sp_1">6</definedName>
    <definedName name="_______________________________________________________sp">6</definedName>
    <definedName name="_______________________________________________________sp_1">6</definedName>
    <definedName name="______________________________________________________sp">6</definedName>
    <definedName name="______________________________________________________sp_1">6</definedName>
    <definedName name="_____________________________________________________sp">6</definedName>
    <definedName name="_____________________________________________________sp_1">6</definedName>
    <definedName name="____________________________________________________sp">6</definedName>
    <definedName name="____________________________________________________sp_1">6</definedName>
    <definedName name="___________________________________________________sp">6</definedName>
    <definedName name="___________________________________________________sp_1">6</definedName>
    <definedName name="__________________________________________________sp">6</definedName>
    <definedName name="__________________________________________________sp_1">6</definedName>
    <definedName name="_________________________________________________sp">6</definedName>
    <definedName name="_________________________________________________sp_1">6</definedName>
    <definedName name="________________________________________________sp">6</definedName>
    <definedName name="________________________________________________sp_1">6</definedName>
    <definedName name="_______________________________________________sp">6</definedName>
    <definedName name="_______________________________________________sp_1">6</definedName>
    <definedName name="______________________________________________sp">6</definedName>
    <definedName name="______________________________________________sp_1">6</definedName>
    <definedName name="_____________________________________________sp">6</definedName>
    <definedName name="_____________________________________________sp_1">6</definedName>
    <definedName name="____________________________________________sp">6</definedName>
    <definedName name="____________________________________________sp_1">6</definedName>
    <definedName name="___________________________________________sp">6</definedName>
    <definedName name="___________________________________________sp_1">6</definedName>
    <definedName name="__________________________________________sp">6</definedName>
    <definedName name="__________________________________________sp_1">6</definedName>
    <definedName name="_________________________________________sp">6</definedName>
    <definedName name="_________________________________________sp_1">6</definedName>
    <definedName name="________________________________________sp">6</definedName>
    <definedName name="________________________________________sp_1">6</definedName>
    <definedName name="_______________________________________sp">6</definedName>
    <definedName name="_______________________________________sp_1">6</definedName>
    <definedName name="______________________________________sp">6</definedName>
    <definedName name="______________________________________sp_1">6</definedName>
    <definedName name="_____________________________________sp">6</definedName>
    <definedName name="_____________________________________sp_1">6</definedName>
    <definedName name="____________________________________sp">6</definedName>
    <definedName name="____________________________________sp_1">6</definedName>
    <definedName name="___________________________________sp">6</definedName>
    <definedName name="___________________________________sp_1">6</definedName>
    <definedName name="__________________________________sp">6</definedName>
    <definedName name="__________________________________sp_1">6</definedName>
    <definedName name="_________________________________sp">6</definedName>
    <definedName name="_________________________________sp_1">6</definedName>
    <definedName name="________________________________sp">6</definedName>
    <definedName name="________________________________sp_1">6</definedName>
    <definedName name="_______________________________sp">6</definedName>
    <definedName name="_______________________________sp_1">6</definedName>
    <definedName name="______________________________sp">6</definedName>
    <definedName name="______________________________sp_1">6</definedName>
    <definedName name="_____________________________sp">6</definedName>
    <definedName name="_____________________________sp_1">6</definedName>
    <definedName name="____________________________sp">6</definedName>
    <definedName name="____________________________sp_1">6</definedName>
    <definedName name="___________________________sp">6</definedName>
    <definedName name="___________________________sp_1">6</definedName>
    <definedName name="__________________________sp">6</definedName>
    <definedName name="__________________________sp_1">6</definedName>
    <definedName name="_________________________sp">6</definedName>
    <definedName name="_________________________sp_1">6</definedName>
    <definedName name="________________________sp">6</definedName>
    <definedName name="________________________sp_1">6</definedName>
    <definedName name="_______________________sp">6</definedName>
    <definedName name="_______________________sp_1">6</definedName>
    <definedName name="______________________sp">6</definedName>
    <definedName name="______________________sp_1">6</definedName>
    <definedName name="_____________________sp">6</definedName>
    <definedName name="_____________________sp_1">6</definedName>
    <definedName name="____________________sp">6</definedName>
    <definedName name="____________________sp_1">6</definedName>
    <definedName name="___________________sp">6</definedName>
    <definedName name="___________________sp_1">6</definedName>
    <definedName name="__________________sp">6</definedName>
    <definedName name="__________________sp_1">6</definedName>
    <definedName name="_________________sp">6</definedName>
    <definedName name="_________________sp_1">6</definedName>
    <definedName name="________________sp">6</definedName>
    <definedName name="________________sp_1">6</definedName>
    <definedName name="_______________sp">6</definedName>
    <definedName name="_______________sp_1">6</definedName>
    <definedName name="______________sp">6</definedName>
    <definedName name="______________sp_1">6</definedName>
    <definedName name="_____________sp">6</definedName>
    <definedName name="_____________sp_1">6</definedName>
    <definedName name="____________sp">6</definedName>
    <definedName name="____________sp_1">6</definedName>
    <definedName name="___________sp">6</definedName>
    <definedName name="___________sp_1">6</definedName>
    <definedName name="__________sp">6</definedName>
    <definedName name="__________sp_1">6</definedName>
    <definedName name="_________sp">6</definedName>
    <definedName name="_________sp_1">6</definedName>
    <definedName name="________sp">6</definedName>
    <definedName name="________sp_1">6</definedName>
    <definedName name="_______sp">6</definedName>
    <definedName name="_______sp_1">6</definedName>
    <definedName name="______sp">6</definedName>
    <definedName name="______sp_1">6</definedName>
    <definedName name="_____sp">6</definedName>
    <definedName name="_____sp_1">6</definedName>
    <definedName name="____sp">6</definedName>
    <definedName name="____sp_1">6</definedName>
    <definedName name="___sp">6</definedName>
    <definedName name="___sp_1">6</definedName>
    <definedName name="__sp">6</definedName>
    <definedName name="__sp_1">6</definedName>
    <definedName name="_Fill" localSheetId="0" hidden="1">#REF!</definedName>
    <definedName name="_Key1" localSheetId="0" hidden="1">#REF!</definedName>
    <definedName name="_Order1" hidden="1">255</definedName>
    <definedName name="_Order1_1">255</definedName>
    <definedName name="_Sort" localSheetId="0" hidden="1">#REF!</definedName>
    <definedName name="_sp">6</definedName>
    <definedName name="_sp_1">6</definedName>
    <definedName name="a" localSheetId="0">#REF!</definedName>
    <definedName name="ab" localSheetId="0">#REF!</definedName>
    <definedName name="abc" localSheetId="0">#REF!</definedName>
    <definedName name="_xlnm.Database" localSheetId="0">#REF!</definedName>
    <definedName name="DDDDDDDDDDDDDD" localSheetId="0">#REF!</definedName>
    <definedName name="KMDM" localSheetId="0">#REF!</definedName>
    <definedName name="Print_Area_MI" localSheetId="0">#REF!</definedName>
    <definedName name="sp">6</definedName>
    <definedName name="sp_1">6</definedName>
    <definedName name="UF" localSheetId="0">#REF!</definedName>
    <definedName name="UFPrn20000925150907" localSheetId="0">#REF!</definedName>
    <definedName name="UFPrn20000925150927" localSheetId="0">#REF!</definedName>
    <definedName name="UFPrn20000925165850" localSheetId="0">#REF!</definedName>
    <definedName name="UFPrn20010303111833" localSheetId="0">#REF!</definedName>
    <definedName name="UFPrn20010303145213" localSheetId="0">#REF!</definedName>
    <definedName name="UFPrn20010303145710" localSheetId="0">#REF!</definedName>
    <definedName name="UFPrn20010303145843" localSheetId="0">#REF!</definedName>
    <definedName name="UFPrn20010303150906" localSheetId="0">#REF!</definedName>
    <definedName name="UFPrn20010303150939" localSheetId="0">#REF!</definedName>
    <definedName name="UFPrn20031225094429" localSheetId="0">#REF!</definedName>
    <definedName name="UFPrn20031225094904" localSheetId="0">#REF!</definedName>
    <definedName name="UFPrn20031225094927" localSheetId="0">#REF!</definedName>
    <definedName name="UFPrn20031225094955" localSheetId="0">#REF!</definedName>
    <definedName name="UFPrn20031225153540" localSheetId="0">#REF!</definedName>
    <definedName name="UFPrn20031225164314" localSheetId="0">#REF!</definedName>
    <definedName name="UFPrn20031225164340" localSheetId="0">#REF!</definedName>
    <definedName name="UFPrn20031225164436" localSheetId="0">#REF!</definedName>
    <definedName name="UFPrn20031225164518" localSheetId="0">#REF!</definedName>
    <definedName name="UFPrn20031225164551" localSheetId="0">#REF!</definedName>
    <definedName name="UFPrn20031225164627" localSheetId="0">#REF!</definedName>
    <definedName name="UFPrn20031225164726" localSheetId="0">#REF!</definedName>
    <definedName name="UFPrn20040108094949" localSheetId="0">#REF!</definedName>
    <definedName name="UFPrn20040108095037" localSheetId="0">#REF!</definedName>
    <definedName name="UFPrn20040108095054" localSheetId="0">#REF!</definedName>
    <definedName name="UFPrn20040108095311" localSheetId="0">#REF!</definedName>
    <definedName name="UFPrn20040108215511" localSheetId="0">#REF!</definedName>
    <definedName name="UFPrn20040212103151" localSheetId="0">#REF!</definedName>
    <definedName name="UFPrn20040213155233" localSheetId="0">#REF!</definedName>
    <definedName name="UFPrn20040213155320" localSheetId="0">#REF!</definedName>
    <definedName name="UFPrn20040213155348" localSheetId="0">#REF!</definedName>
    <definedName name="UFPrn20040213155409" localSheetId="0">#REF!</definedName>
    <definedName name="UFPrn20040213155529" localSheetId="0">#REF!</definedName>
    <definedName name="UFPrn20040213155620" localSheetId="0">#REF!</definedName>
    <definedName name="UFPrn20040215194039" localSheetId="0">#REF!</definedName>
    <definedName name="UFPrn20040215194101" localSheetId="0">#REF!</definedName>
    <definedName name="UFPrn20040215194121" localSheetId="0">#REF!</definedName>
    <definedName name="UFPrn20040215194200" localSheetId="0">#REF!</definedName>
    <definedName name="UFPrn20040215194222" localSheetId="0">#REF!</definedName>
    <definedName name="UFPrn20040215194256" localSheetId="0">#REF!</definedName>
    <definedName name="UFPrn20040215194324" localSheetId="0">#REF!</definedName>
    <definedName name="UFPrn20040215194347" localSheetId="0">#REF!</definedName>
    <definedName name="UFPrn20040215194424" localSheetId="0">#REF!</definedName>
    <definedName name="UFPrn20040215194450" localSheetId="0">#REF!</definedName>
    <definedName name="UFPrn20040215204411" localSheetId="0">#REF!</definedName>
    <definedName name="UFPrn20040215204948" localSheetId="0">#REF!</definedName>
    <definedName name="啊啊啊啊啊啊啊啊啊啊啊啊啊啊" localSheetId="0">#REF!</definedName>
    <definedName name="保证贷款" localSheetId="0">#REF!</definedName>
    <definedName name="存货93期初">[1]企业表一!$C$7</definedName>
    <definedName name="存货93期末">[1]企业表一!$D$7</definedName>
    <definedName name="存货94期初">[1]企业表一!$E$7</definedName>
    <definedName name="存货94期末">[1]企业表一!$F$7</definedName>
    <definedName name="存货95期初">[1]企业表一!$G$7</definedName>
    <definedName name="存货95期末">[1]企业表一!$H$7</definedName>
    <definedName name="抵押贷款" localSheetId="0">#REF!</definedName>
    <definedName name="负债合计93期末">[1]企业表一!$D$17</definedName>
    <definedName name="负债合计94期末">[1]企业表一!$F$17</definedName>
    <definedName name="负债合计95期末">[1]企业表一!$H$17</definedName>
    <definedName name="固定资产" localSheetId="0">#REF!</definedName>
    <definedName name="核算项目汇总表" localSheetId="0">#REF!</definedName>
    <definedName name="基本目标" localSheetId="0">#REF!</definedName>
    <definedName name="净_利_润93">'[1]M-5C'!$B$24</definedName>
    <definedName name="净_利_润94">'[1]M-5C'!$D$24</definedName>
    <definedName name="净_利_润95">'[1]M-5C'!$F$24</definedName>
    <definedName name="净资产合计93期初">[1]企业表一!$C$20</definedName>
    <definedName name="净资产合计93期末">[1]企业表一!$D$20</definedName>
    <definedName name="净资产合计94期初">[1]企业表一!$E$20</definedName>
    <definedName name="净资产合计94期末">[1]企业表一!$F$20</definedName>
    <definedName name="净资产合计95期初">[1]企业表一!$G$20</definedName>
    <definedName name="净资产合计95期末">[1]企业表一!$H$20</definedName>
    <definedName name="科目余额表">[2]科目余额表!$A$3:$H$508</definedName>
    <definedName name="累计折旧" localSheetId="0">#REF!</definedName>
    <definedName name="利_润_总_额93">'[1]M-5A'!$B$10</definedName>
    <definedName name="利_润_总_额94">'[1]M-5A'!$C$10</definedName>
    <definedName name="利_润_总_额95">'[1]M-5A'!$D$10</definedName>
    <definedName name="流_动_资_产93">'[1]M-5A'!$B$15</definedName>
    <definedName name="流_动_资_产94">'[1]M-5A'!$C$15</definedName>
    <definedName name="流_动_资_产95">'[1]M-5A'!$D$15</definedName>
    <definedName name="流动负债93期末">[1]企业表一!$D$15</definedName>
    <definedName name="流动负债94期末">[1]企业表一!$F$15</definedName>
    <definedName name="流动负债95期末">[1]企业表一!$H$15</definedName>
    <definedName name="明细分类账" localSheetId="0">#REF!</definedName>
    <definedName name="速_动_资_产93">'[1]M-5A'!$B$14</definedName>
    <definedName name="速_动_资_产94">'[1]M-5A'!$C$14</definedName>
    <definedName name="速_动_资_产95">'[1]M-5A'!$D$14</definedName>
    <definedName name="损益">[3]XL4Poppy!$A$15</definedName>
    <definedName name="往往" localSheetId="0">#REF!</definedName>
    <definedName name="新明细分类账" localSheetId="0">#REF!</definedName>
    <definedName name="信用贷款" localSheetId="0">#REF!</definedName>
    <definedName name="应收帐款93期初">[1]企业表一!$C$6</definedName>
    <definedName name="应收帐款93期末">[1]企业表一!$D$6</definedName>
    <definedName name="应收帐款94期初">[1]企业表一!$E$6</definedName>
    <definedName name="应收帐款94期末">[1]企业表一!$F$6</definedName>
    <definedName name="应收帐款95期初">[1]企业表一!$G$6</definedName>
    <definedName name="应收帐款95期末">[1]企业表一!$H$6</definedName>
    <definedName name="质押贷款" localSheetId="0">#REF!</definedName>
    <definedName name="资产合计93期初">[1]企业表一!$C$14</definedName>
    <definedName name="资产合计93期末">[1]企业表一!$D$14</definedName>
    <definedName name="资产合计94期初">[1]企业表一!$E$14</definedName>
    <definedName name="资产合计94期末">[1]企业表一!$F$14</definedName>
    <definedName name="资产合计95期初">[1]企业表一!$G$14</definedName>
    <definedName name="资产合计95期末">[1]企业表一!$H$14</definedName>
    <definedName name="总分类账" localSheetId="0">#REF!</definedName>
    <definedName name="전" localSheetId="0">#REF!</definedName>
    <definedName name="주택사업본부" localSheetId="0">#REF!</definedName>
    <definedName name="철구사업본부" localSheetId="0">#REF!</definedName>
  </definedNames>
  <calcPr calcId="181029"/>
</workbook>
</file>

<file path=xl/calcChain.xml><?xml version="1.0" encoding="utf-8"?>
<calcChain xmlns="http://schemas.openxmlformats.org/spreadsheetml/2006/main">
  <c r="AG5" i="1" l="1"/>
  <c r="AH5" i="1"/>
  <c r="AI5" i="1"/>
  <c r="AJ5" i="1"/>
  <c r="AK5" i="1"/>
  <c r="AL5" i="1"/>
  <c r="AM5" i="1"/>
  <c r="AN5" i="1"/>
  <c r="AO5" i="1"/>
  <c r="AP5" i="1"/>
  <c r="AQ5" i="1"/>
  <c r="AR5" i="1"/>
  <c r="AS5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G7" i="1"/>
  <c r="AH7" i="1"/>
  <c r="AI7" i="1"/>
  <c r="AJ7" i="1"/>
  <c r="AK7" i="1"/>
  <c r="AL7" i="1"/>
  <c r="AM7" i="1"/>
  <c r="AN7" i="1"/>
  <c r="AO7" i="1"/>
  <c r="AP7" i="1"/>
  <c r="AQ7" i="1"/>
  <c r="AR7" i="1"/>
  <c r="AU7" i="1"/>
  <c r="AG8" i="1"/>
  <c r="AH8" i="1"/>
  <c r="AI8" i="1"/>
  <c r="AJ8" i="1"/>
  <c r="AK8" i="1"/>
  <c r="AL8" i="1"/>
  <c r="AM8" i="1"/>
  <c r="AN8" i="1"/>
  <c r="AO8" i="1"/>
  <c r="AP8" i="1"/>
  <c r="AQ8" i="1"/>
  <c r="AR8" i="1"/>
  <c r="AU8" i="1"/>
  <c r="I9" i="1"/>
  <c r="J9" i="1"/>
  <c r="K9" i="1"/>
  <c r="L9" i="1"/>
  <c r="M9" i="1"/>
  <c r="N9" i="1"/>
  <c r="O9" i="1"/>
  <c r="P9" i="1"/>
  <c r="Q9" i="1"/>
  <c r="R9" i="1"/>
  <c r="S9" i="1"/>
  <c r="T9" i="1"/>
  <c r="AG9" i="1"/>
  <c r="AH9" i="1"/>
  <c r="AI9" i="1"/>
  <c r="AJ9" i="1"/>
  <c r="AK9" i="1"/>
  <c r="AL9" i="1"/>
  <c r="AM9" i="1"/>
  <c r="AN9" i="1"/>
  <c r="AO9" i="1"/>
  <c r="AP9" i="1"/>
  <c r="AQ9" i="1"/>
  <c r="AR9" i="1"/>
  <c r="AU9" i="1"/>
  <c r="AH10" i="1"/>
  <c r="AI10" i="1"/>
  <c r="AJ10" i="1"/>
  <c r="AK10" i="1"/>
  <c r="AL10" i="1"/>
  <c r="AM10" i="1"/>
  <c r="AN10" i="1"/>
  <c r="AO10" i="1"/>
  <c r="AP10" i="1"/>
  <c r="AQ10" i="1"/>
  <c r="AR10" i="1"/>
  <c r="AU10" i="1"/>
  <c r="AU11" i="1"/>
  <c r="AG13" i="1"/>
  <c r="AT13" i="1"/>
  <c r="AU13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U14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T15" i="1"/>
  <c r="AU15" i="1"/>
  <c r="AT16" i="1"/>
  <c r="AU16" i="1"/>
  <c r="AT17" i="1"/>
  <c r="AU17" i="1"/>
  <c r="AT18" i="1"/>
  <c r="AU18" i="1"/>
  <c r="AT19" i="1"/>
  <c r="AU19" i="1"/>
  <c r="AT20" i="1"/>
  <c r="AU20" i="1"/>
  <c r="AT21" i="1"/>
  <c r="AU21" i="1"/>
  <c r="AU22" i="1"/>
  <c r="AH23" i="1"/>
  <c r="AI23" i="1"/>
  <c r="AJ23" i="1"/>
  <c r="AK23" i="1"/>
  <c r="AL23" i="1"/>
  <c r="AM23" i="1"/>
  <c r="AN23" i="1"/>
  <c r="AO23" i="1"/>
  <c r="AP23" i="1"/>
  <c r="AQ23" i="1"/>
  <c r="AR23" i="1"/>
  <c r="AU23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U24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U25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T27" i="1"/>
  <c r="AU27" i="1"/>
  <c r="O28" i="1"/>
  <c r="AU28" i="1"/>
  <c r="AT30" i="1"/>
  <c r="AU30" i="1"/>
  <c r="AT31" i="1"/>
  <c r="AU31" i="1"/>
  <c r="AG32" i="1"/>
  <c r="AT32" i="1"/>
  <c r="AU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HP-ProDesk480</author>
    <author>王笠萍</author>
  </authors>
  <commentList>
    <comment ref="AU10" authorId="0" shapeId="0" xr:uid="{347952CA-C5A2-4449-B294-501890C15B68}">
      <text>
        <r>
          <rPr>
            <sz val="9"/>
            <rFont val="宋体"/>
            <charset val="134"/>
          </rPr>
          <t>年化报表数</t>
        </r>
      </text>
    </comment>
    <comment ref="B12" authorId="0" shapeId="0" xr:uid="{2E54D93B-0EE0-4E4C-B7F8-CBB173ACD741}">
      <text>
        <r>
          <rPr>
            <sz val="9"/>
            <rFont val="宋体"/>
            <charset val="134"/>
          </rPr>
          <t>2023年开始甲醇不再抵扣，口径与以前年不不同，总部2023年下达控制指标为4.488</t>
        </r>
      </text>
    </comment>
    <comment ref="B14" authorId="0" shapeId="0" xr:uid="{ECF81BF8-2B81-474F-9B46-FF751C2289F6}">
      <text>
        <r>
          <rPr>
            <sz val="9"/>
            <rFont val="宋体"/>
            <charset val="134"/>
          </rPr>
          <t>经营净额/流动负债</t>
        </r>
      </text>
    </comment>
    <comment ref="B15" authorId="0" shapeId="0" xr:uid="{3824637D-21C9-4A4F-BB78-B0CD144DEB08}">
      <text>
        <r>
          <rPr>
            <sz val="9"/>
            <rFont val="宋体"/>
            <charset val="134"/>
          </rPr>
          <t>（流动资产-存货）/流动负债</t>
        </r>
      </text>
    </comment>
    <comment ref="B23" authorId="0" shapeId="0" xr:uid="{6FDA712F-8055-4A41-AFCD-3A3B696C43CF}">
      <text>
        <r>
          <rPr>
            <sz val="9"/>
            <rFont val="宋体"/>
            <charset val="134"/>
          </rPr>
          <t xml:space="preserve">（年末总资产-年初）/年初
</t>
        </r>
      </text>
    </comment>
    <comment ref="B24" authorId="1" shapeId="0" xr:uid="{8CAB9AC5-94BF-43F2-BB5A-5B6D42DBE4C1}">
      <text>
        <r>
          <rPr>
            <sz val="9"/>
            <rFont val="宋体"/>
            <charset val="134"/>
          </rPr>
          <t xml:space="preserve">同比
</t>
        </r>
      </text>
    </comment>
    <comment ref="B25" authorId="1" shapeId="0" xr:uid="{A2D2EAFD-34E3-4F54-8258-011CD3DB9786}">
      <text>
        <r>
          <rPr>
            <b/>
            <sz val="9"/>
            <rFont val="宋体"/>
            <charset val="134"/>
          </rPr>
          <t>同比</t>
        </r>
      </text>
    </comment>
    <comment ref="B28" authorId="1" shapeId="0" xr:uid="{CC285D1E-9B87-4A28-A605-33ACF39257E4}">
      <text>
        <r>
          <rPr>
            <sz val="9"/>
            <rFont val="宋体"/>
            <charset val="134"/>
          </rPr>
          <t>累计数</t>
        </r>
      </text>
    </comment>
  </commentList>
</comments>
</file>

<file path=xl/sharedStrings.xml><?xml version="1.0" encoding="utf-8"?>
<sst xmlns="http://schemas.openxmlformats.org/spreadsheetml/2006/main" count="89" uniqueCount="64">
  <si>
    <t>主要财务指标表</t>
  </si>
  <si>
    <t>类别</t>
  </si>
  <si>
    <t>指标名称</t>
  </si>
  <si>
    <t>2017年</t>
  </si>
  <si>
    <t>2018年</t>
  </si>
  <si>
    <t>2019年</t>
  </si>
  <si>
    <t>2020年</t>
  </si>
  <si>
    <t>2021年</t>
  </si>
  <si>
    <t>2022年</t>
  </si>
  <si>
    <t>2021年（分月）</t>
  </si>
  <si>
    <t>2022年（分月）</t>
  </si>
  <si>
    <t>2023年（分月）</t>
  </si>
  <si>
    <t>辅助计算列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</si>
  <si>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</si>
  <si>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</si>
  <si>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</si>
  <si>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</si>
  <si>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</si>
  <si>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</si>
  <si>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</si>
  <si>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</si>
  <si>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</si>
  <si>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</si>
  <si>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</si>
  <si>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</si>
  <si>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2023年累计</t>
  </si>
  <si>
    <t>当月</t>
  </si>
  <si>
    <t>本年累计</t>
  </si>
  <si>
    <t>两利五率</t>
  </si>
  <si>
    <t>利润总额（万元）</t>
  </si>
  <si>
    <t>净利润（万元）</t>
  </si>
  <si>
    <t>资产负债率（%）</t>
  </si>
  <si>
    <t>净资产收益率(%)</t>
  </si>
  <si>
    <t>营业现金比率（%）</t>
  </si>
  <si>
    <t>全员劳动生产率（万元/人）</t>
  </si>
  <si>
    <t>研发投入强度（%）</t>
  </si>
  <si>
    <t>成本控制</t>
  </si>
  <si>
    <t>万元产值综合能耗（吨标煤/万元）</t>
  </si>
  <si>
    <t>只有统计指标解释，甲醇作为能源产品抵扣只是总公司内部执行的，由于从今年起国家改变了综合能源考核办法，用天然气、煤作为原料生产化工产品的企业，原料天然气、煤在能源消费考核中将不视为能源消费，既然天然气原料部分不视为能源消费了，那么用其生产的甲醇也就不能在视做能源产品进行抵扣，因而年报会上总部决定取消在总公司内将甲醇、乙烯视为能源拼抵扣的计算方法</t>
  </si>
  <si>
    <t>维修费占固定资产原值比例(%)</t>
  </si>
  <si>
    <t>偿债能力</t>
  </si>
  <si>
    <t>现金流动负债比率(%)</t>
  </si>
  <si>
    <t>速动比率</t>
  </si>
  <si>
    <t>运营能力</t>
  </si>
  <si>
    <t>总资产周转率(次)</t>
  </si>
  <si>
    <t>应收账款周转率(次)</t>
  </si>
  <si>
    <t>存货周转率(次)</t>
  </si>
  <si>
    <t>盈利能力</t>
  </si>
  <si>
    <t>主营业务利润率(%)</t>
  </si>
  <si>
    <t>成本费用利润率(%)</t>
  </si>
  <si>
    <t>总资产报酬率(%)</t>
  </si>
  <si>
    <t>ROCE（已动用资本回报率）(%)</t>
  </si>
  <si>
    <t>发展能力</t>
  </si>
  <si>
    <t>总资产增长率(%)</t>
  </si>
  <si>
    <t>营业收入增长率(%)</t>
  </si>
  <si>
    <t>营业利润增长率(%)</t>
  </si>
  <si>
    <t>资本保值增值率(%)</t>
  </si>
  <si>
    <t>其他指标</t>
  </si>
  <si>
    <t>利税总额（亿元）</t>
  </si>
  <si>
    <t>经济增加值EVA（亿元)</t>
  </si>
  <si>
    <t>挖潜增效（万元）</t>
  </si>
  <si>
    <t>“两金”占用（亿元）</t>
  </si>
  <si>
    <t>“两金”占用占流动资产比重（%）</t>
  </si>
  <si>
    <t>人工成本利润率（%）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</si>
</sst>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#,##0.00_ "/>
    <numFmt numFmtId="177" formatCode="#,##0_ "/>
    <numFmt numFmtId="178" formatCode="_ * #,##0_ ;_ * \-#,##0_ ;_ * &quot;-&quot;??_ ;_ @_ "/>
  </numFmts>
  <fonts count="28" x14ac:knownFonts="1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20"/>
      <color indexed="8"/>
      <name val="宋体"/>
      <charset val="134"/>
    </font>
    <font>
      <sz val="20"/>
      <color indexed="8"/>
      <name val="宋体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1"/>
      <color rgb="FF3F3F76"/>
      <name val="宋体"/>
      <charset val="134"/>
    </font>
    <font>
      <sz val="11"/>
      <color rgb="FF9C0006"/>
      <name val="宋体"/>
      <charset val="134"/>
    </font>
    <font>
      <b/>
      <sz val="11"/>
      <color rgb="FF44546A"/>
      <name val="宋体"/>
      <charset val="134"/>
    </font>
    <font>
      <b/>
      <sz val="18"/>
      <color rgb="FF44546A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6500"/>
      <name val="宋体"/>
      <charset val="134"/>
    </font>
    <font>
      <u/>
      <sz val="11"/>
      <color rgb="FF0563C1"/>
      <name val="宋体"/>
      <charset val="134"/>
    </font>
    <font>
      <sz val="9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5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11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26" fillId="0" borderId="0" xfId="7" applyFont="1" applyFill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/>
    </xf>
    <xf numFmtId="176" fontId="4" fillId="0" borderId="3" xfId="0" applyNumberFormat="1" applyFont="1" applyFill="1" applyBorder="1" applyAlignment="1">
      <alignment vertical="center" wrapText="1"/>
    </xf>
    <xf numFmtId="43" fontId="4" fillId="0" borderId="3" xfId="0" applyNumberFormat="1" applyFont="1" applyFill="1" applyBorder="1" applyAlignment="1">
      <alignment vertical="center" wrapText="1"/>
    </xf>
    <xf numFmtId="0" fontId="0" fillId="0" borderId="3" xfId="0" applyFont="1" applyFill="1" applyBorder="1">
      <alignment vertical="center"/>
    </xf>
    <xf numFmtId="0" fontId="5" fillId="0" borderId="3" xfId="0" applyFont="1" applyFill="1" applyBorder="1">
      <alignment vertical="center"/>
    </xf>
    <xf numFmtId="177" fontId="4" fillId="0" borderId="3" xfId="0" applyNumberFormat="1" applyFont="1" applyFill="1" applyBorder="1" applyAlignment="1">
      <alignment vertical="center" wrapText="1"/>
    </xf>
    <xf numFmtId="178" fontId="4" fillId="0" borderId="3" xfId="0" applyNumberFormat="1" applyFont="1" applyFill="1" applyBorder="1" applyAlignment="1">
      <alignment vertical="center" wrapText="1"/>
    </xf>
    <xf numFmtId="57" fontId="1" fillId="0" borderId="3" xfId="0" applyNumberFormat="1" applyFont="1" applyFill="1" applyBorder="1" applyAlignment="1">
      <alignment horizontal="center" vertical="center"/>
    </xf>
    <xf numFmtId="57" fontId="1" fillId="0" borderId="5" xfId="0" applyNumberFormat="1" applyFont="1" applyFill="1" applyBorder="1" applyAlignment="1">
      <alignment vertical="center"/>
    </xf>
    <xf numFmtId="43" fontId="0" fillId="0" borderId="3" xfId="5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43" fontId="6" fillId="19" borderId="3" xfId="5" applyFont="1" applyFill="1" applyBorder="1" applyAlignment="1">
      <alignment horizontal="center" vertical="center"/>
    </xf>
    <xf numFmtId="9" fontId="0" fillId="0" borderId="0" xfId="8" applyFont="1" applyFill="1" applyAlignment="1">
      <alignment horizontal="center" vertical="center"/>
    </xf>
    <xf numFmtId="43" fontId="0" fillId="0" borderId="3" xfId="5" applyFont="1" applyFill="1" applyBorder="1">
      <alignment vertical="center"/>
    </xf>
    <xf numFmtId="43" fontId="6" fillId="19" borderId="3" xfId="5" applyFont="1" applyFill="1" applyBorder="1">
      <alignment vertical="center"/>
    </xf>
    <xf numFmtId="43" fontId="0" fillId="0" borderId="3" xfId="5" applyNumberFormat="1" applyFont="1" applyFill="1" applyBorder="1">
      <alignment vertical="center"/>
    </xf>
    <xf numFmtId="176" fontId="0" fillId="0" borderId="0" xfId="0" applyNumberFormat="1" applyFont="1" applyFill="1">
      <alignment vertical="center"/>
    </xf>
    <xf numFmtId="178" fontId="0" fillId="0" borderId="3" xfId="5" applyNumberFormat="1" applyFont="1" applyFill="1" applyBorder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57" fontId="1" fillId="0" borderId="4" xfId="0" applyNumberFormat="1" applyFont="1" applyFill="1" applyBorder="1" applyAlignment="1">
      <alignment horizontal="center" vertical="center"/>
    </xf>
    <xf numFmtId="57" fontId="1" fillId="0" borderId="5" xfId="0" applyNumberFormat="1" applyFont="1" applyFill="1" applyBorder="1" applyAlignment="1">
      <alignment horizontal="center" vertical="center"/>
    </xf>
    <xf numFmtId="57" fontId="1" fillId="0" borderId="1" xfId="0" applyNumberFormat="1" applyFont="1" applyFill="1" applyBorder="1" applyAlignment="1">
      <alignment horizontal="center" vertical="center"/>
    </xf>
    <xf numFmtId="57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5">
    <cellStyle name="20% - 强调文字颜色 1" xfId="31" xr:uid="{9CC34BEC-7461-47DE-B41C-CE87FCA5EADC}"/>
    <cellStyle name="20% - 强调文字颜色 2" xfId="33" xr:uid="{F8F178DE-5B31-40A9-BE32-15A8774942C4}"/>
    <cellStyle name="20% - 强调文字颜色 3" xfId="1" xr:uid="{7F191252-5351-4C27-AC2E-6D04E5FCF5E8}"/>
    <cellStyle name="20% - 强调文字颜色 4" xfId="37" xr:uid="{12163EFA-16D7-4397-996D-B483810F7C09}"/>
    <cellStyle name="20% - 强调文字颜色 5" xfId="29" xr:uid="{9B3A1DB8-9C0D-4E5A-8A33-8FE192BA8AA4}"/>
    <cellStyle name="20% - 强调文字颜色 6" xfId="23" xr:uid="{244CE92A-642E-463A-AC7C-E02EB881F34C}"/>
    <cellStyle name="40% - 强调文字颜色 1" xfId="32" xr:uid="{1AA7F564-2CBE-44D8-B24F-38FF61161CDF}"/>
    <cellStyle name="40% - 强调文字颜色 2" xfId="34" xr:uid="{27457882-663D-4314-8909-A4BE54219095}"/>
    <cellStyle name="40% - 强调文字颜色 3" xfId="3" xr:uid="{11205E49-CA4E-45FC-9AA1-1CF62858AC91}"/>
    <cellStyle name="40% - 强调文字颜色 4" xfId="38" xr:uid="{CDA0C85E-26A8-4632-9FAE-AC4728771F19}"/>
    <cellStyle name="40% - 强调文字颜色 5" xfId="40" xr:uid="{D308881E-4D47-4904-BE99-07509168C688}"/>
    <cellStyle name="40% - 强调文字颜色 6" xfId="43" xr:uid="{BEB06D11-63E6-4A62-9B76-6E28F12F2996}"/>
    <cellStyle name="60% - 强调文字颜色 1" xfId="17" xr:uid="{B0B2FD7F-F1CA-42A0-BC63-D4D4AEE267A6}"/>
    <cellStyle name="60% - 强调文字颜色 2" xfId="10" xr:uid="{FEA23DCC-9E52-46BA-A334-AD07B195C1E4}"/>
    <cellStyle name="60% - 强调文字颜色 3" xfId="6" xr:uid="{40C9E33F-7A0A-49E9-8D4C-086A37368658}"/>
    <cellStyle name="60% - 强调文字颜色 4" xfId="19" xr:uid="{1F46C0E5-58FD-40E7-B63D-3521DB982627}"/>
    <cellStyle name="60% - 强调文字颜色 5" xfId="41" xr:uid="{21B440E6-EE30-40AE-83DB-B4BDE9C2601B}"/>
    <cellStyle name="60% - 强调文字颜色 6" xfId="44" xr:uid="{03498285-2892-45E7-BBC2-42C0BE8A45C2}"/>
    <cellStyle name="百分比" xfId="8" builtinId="5"/>
    <cellStyle name="标题" xfId="13" builtinId="15" customBuiltin="1"/>
    <cellStyle name="标题 1" xfId="15" builtinId="16" customBuiltin="1"/>
    <cellStyle name="标题 2" xfId="16" builtinId="17" customBuiltin="1"/>
    <cellStyle name="标题 3" xfId="18" builtinId="18" customBuiltin="1"/>
    <cellStyle name="标题 4" xfId="11" builtinId="19" customBuiltin="1"/>
    <cellStyle name="差" xfId="4" builtinId="27" customBuiltin="1"/>
    <cellStyle name="常规" xfId="0" builtinId="0"/>
    <cellStyle name="超链接" xfId="7" builtinId="8"/>
    <cellStyle name="好" xfId="27" builtinId="26" customBuiltin="1"/>
    <cellStyle name="汇总" xfId="26" builtinId="25" customBuiltin="1"/>
    <cellStyle name="计算" xfId="21" builtinId="22" customBuiltin="1"/>
    <cellStyle name="检查单元格" xfId="22" builtinId="23" customBuiltin="1"/>
    <cellStyle name="解释性文本" xfId="14" builtinId="53" customBuiltin="1"/>
    <cellStyle name="警告文本" xfId="12" builtinId="11" customBuiltin="1"/>
    <cellStyle name="链接单元格" xfId="25" builtinId="24" customBuiltin="1"/>
    <cellStyle name="千位分隔" xfId="5" builtinId="3"/>
    <cellStyle name="强调文字颜色 1" xfId="30" xr:uid="{B73F9E72-1C70-41D2-9354-05074CC25A69}"/>
    <cellStyle name="强调文字颜色 2" xfId="24" xr:uid="{2624F898-1B69-4015-BEFC-56627F71A183}"/>
    <cellStyle name="强调文字颜色 3" xfId="35" xr:uid="{C0EE983F-1005-460C-88CA-AE04436F264B}"/>
    <cellStyle name="强调文字颜色 4" xfId="36" xr:uid="{D36CC069-4A4C-41FA-AB33-59FAB1267002}"/>
    <cellStyle name="强调文字颜色 5" xfId="39" xr:uid="{AFB2F68C-FF8B-42F2-9603-2E36EB8E8F75}"/>
    <cellStyle name="强调文字颜色 6" xfId="42" xr:uid="{83ACC4EC-9176-4C58-ABC1-EC75E5AD0E5E}"/>
    <cellStyle name="适中" xfId="28" builtinId="28" customBuiltin="1"/>
    <cellStyle name="输出" xfId="20" builtinId="21" customBuiltin="1"/>
    <cellStyle name="输入" xfId="2" builtinId="20" customBuiltin="1"/>
    <cellStyle name="注释" xfId="9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14.42\&#26032;&#24314;&#25991;&#20214;&#22841;%20(11)\2004&#24180;&#23457;&#35745;\&#21271;&#20140;&#19990;&#32426;&#24658;&#25104;\2.&#20250;&#35745;&#25253;&#34920;&#35797;&#31639;&#21450;&#38468;&#27880;\2004&#24180;&#25913;&#21046;&#23457;&#35745;\&#24535;&#36828;&#20844;&#21496;\2.&#20250;&#35745;&#25253;&#34920;&#35797;&#31639;&#21450;&#38468;&#27880;\11&#31896;&#21512;&#21058;&#23457;&#35745;\&#31185;&#30446;&#20313;&#39069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&#31807;\02-&#20998;&#26512;\2016&#24180;&#24230;\7&#26376;\&#21378;&#37096;&#32463;&#27982;&#27963;&#21160;&#20998;&#26512;\&#20998;&#26512;&#36164;&#26009;\2003&#24180;&#24230;\12&#26376;&#20221;\&#22797;&#20214;%202002&#24180;1&#23395;&#24230;&#32463;&#27982;&#27963;&#21160;&#20998;&#26512;&#38468;&#2021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0998;&#26512;&#3492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2463;&#33829;&#26381;&#21153;&#31649;&#29702;&#23460;\&#27599;&#26376;&#25968;&#25454;&#25253;&#34920;\6&#26376;\&#22522;&#30784;&#25968;&#25454;&#34920;&#65288;2017-2023&#24180;6&#26376;&#65289;071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6130;&#21153;&#31649;&#29702;\&#20998;&#26512;\&#21508;&#26376;&#22522;&#30784;&#36164;&#26009;\&#21382;&#24180;-&#36130;&#21153;&#25968;&#25454;&#20998;&#26512;&#65288;&#27599;&#26376;&#26356;&#26032;&#65289;\&#27599;&#26376;&#25253;&#36865;\2022\202211&#22522;&#30784;&#25968;&#25454;&#34920;\&#22522;&#30784;&#25968;&#25454;&#34920;&#65288;2017-2022&#24180;11&#26376;&#65289;12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科目余额表"/>
      <sheetName val="科纳特成本按项目明细-10"/>
      <sheetName val="Sheet3"/>
      <sheetName val="产值平衡表"/>
      <sheetName val="M_5A"/>
      <sheetName val="M_5C"/>
      <sheetName val="B"/>
      <sheetName val="索引"/>
      <sheetName val="source"/>
      <sheetName val="科目名称表"/>
      <sheetName val="本期报表"/>
      <sheetName val="表头"/>
      <sheetName val="08"/>
      <sheetName val="03"/>
      <sheetName val="05"/>
      <sheetName val="06"/>
      <sheetName val="10"/>
      <sheetName val="04"/>
      <sheetName val="09"/>
      <sheetName val="02"/>
      <sheetName val="07"/>
      <sheetName val="表一(1)"/>
      <sheetName val="存货汇总表10"/>
      <sheetName val="资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W"/>
      <sheetName val="累计产销存"/>
      <sheetName val="完"/>
      <sheetName val="库存商品"/>
      <sheetName val="余额表"/>
      <sheetName val="表头信息"/>
      <sheetName val="laroux"/>
      <sheetName val="Investment Property"/>
      <sheetName val="科目表"/>
      <sheetName val="Statistics {pbe}"/>
      <sheetName val="Allow {pbe}"/>
      <sheetName val="附注汇总"/>
      <sheetName val="Summary"/>
      <sheetName val="Pre-operating Exp"/>
      <sheetName val="Miscellaneous Exp."/>
      <sheetName val="Rental 2002"/>
      <sheetName val="Rental 2001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XL4Poppy"/>
      <sheetName val="码表"/>
      <sheetName val="台帐"/>
      <sheetName val="Sheet1 (11)"/>
      <sheetName val="基本情况表"/>
      <sheetName val="11应收帐款"/>
      <sheetName val=""/>
      <sheetName val="23产成品 "/>
      <sheetName val="B30111"/>
      <sheetName val="现金"/>
      <sheetName val="&lt;原报&gt;资产负债表"/>
      <sheetName val="设置"/>
      <sheetName val="03年1季度"/>
      <sheetName val="master"/>
      <sheetName val="包增减变动"/>
      <sheetName val="FA Breakdown"/>
      <sheetName val="收入、人数真实数据--曲线"/>
      <sheetName val="供电"/>
      <sheetName val="供风"/>
      <sheetName val="供汽"/>
      <sheetName val="供水"/>
      <sheetName val="除盐水"/>
      <sheetName val="ssy1"/>
      <sheetName val="基础数据表"/>
      <sheetName val="资产负债表"/>
      <sheetName val="99累油"/>
      <sheetName val="SALK"/>
      <sheetName val="企业意见"/>
      <sheetName val="B1-7"/>
      <sheetName val="INTRO"/>
      <sheetName val="GOUT"/>
      <sheetName val="_x005f_x0000__x005f_x0000__x005f_x0000__x005f_x0000__x0"/>
      <sheetName val="param"/>
      <sheetName val="Traduction"/>
      <sheetName val="试算平衡表"/>
      <sheetName val="7-11销售"/>
      <sheetName val="12进销存"/>
      <sheetName val="填写参数"/>
      <sheetName val="主表 "/>
      <sheetName val="Sheet1"/>
      <sheetName val="KKKKKKKK"/>
      <sheetName val="户名"/>
      <sheetName val="工作表目录"/>
      <sheetName val="审定报表"/>
      <sheetName val="2160"/>
      <sheetName val="2180"/>
      <sheetName val="2070"/>
      <sheetName val="2080"/>
      <sheetName val="2060"/>
      <sheetName val="2161"/>
      <sheetName val="2190"/>
      <sheetName val="2090"/>
      <sheetName val="3200"/>
      <sheetName val="2130"/>
      <sheetName val="3150"/>
      <sheetName val="3120"/>
      <sheetName val="2110"/>
      <sheetName val="2120"/>
      <sheetName val="3130"/>
      <sheetName val="2220"/>
      <sheetName val="dxnsjtempsheet"/>
      <sheetName val="HL"/>
      <sheetName val="参数"/>
      <sheetName val="主菜单"/>
      <sheetName val="营业外支出Dy"/>
      <sheetName val="生产成本mx"/>
      <sheetName val="专项应付款Dy"/>
      <sheetName val="分录"/>
      <sheetName val="07年1-9月"/>
      <sheetName val="调整分录"/>
      <sheetName val="工程物资Dy"/>
      <sheetName val="标本-资产"/>
      <sheetName val="固定资产清理"/>
      <sheetName val="主营业务收入mx"/>
      <sheetName val="界面"/>
      <sheetName val="关联方"/>
      <sheetName val="累计折旧测算表"/>
      <sheetName val="校对"/>
      <sheetName val="坏账准备_应收账款Dy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合格数详细信息"/>
      <sheetName val="BS P&amp;L-SAP standard form"/>
      <sheetName val="XBase"/>
      <sheetName val="客户基本概况表"/>
      <sheetName val="鸡油车间"/>
      <sheetName val="制造费用MX"/>
      <sheetName val="ITEM"/>
      <sheetName val="应收账款"/>
      <sheetName val="营业费用截止"/>
      <sheetName val="基础信息"/>
      <sheetName val="待转业务收入-按客户"/>
      <sheetName val="待收账款"/>
      <sheetName val="明细输入"/>
      <sheetName val="收入和成本对应表"/>
      <sheetName val="TB表"/>
      <sheetName val="营业成本Dy"/>
      <sheetName val="管理费用Dy"/>
      <sheetName val="其他应收款Dy"/>
      <sheetName val="5月"/>
      <sheetName val="6月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____"/>
      <sheetName val="2004"/>
      <sheetName val="#REF!"/>
      <sheetName val="其他应收款－个人借款明细"/>
      <sheetName val="关联清单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分析表2"/>
      <sheetName val="衍生金融工具☎细表"/>
      <sheetName val="衍生金融工具?细表"/>
      <sheetName val="王府井"/>
      <sheetName val="王府井 (2)"/>
      <sheetName val="王府井转换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?表一"/>
      <sheetName val="收益汇总7"/>
      <sheetName val="中山低值"/>
      <sheetName val="G9-"/>
      <sheetName val="G-"/>
      <sheetName val="-"/>
      <sheetName val="TMﾃﾞｰﾀ"/>
      <sheetName val="选择报表"/>
      <sheetName val="衍生金融工具_细表"/>
      <sheetName val="企_表一"/>
      <sheetName val="毛利率分析表"/>
      <sheetName val="应纳所得税明细衠"/>
      <sheetName val="衠外项目-银行承兑汇票"/>
      <sheetName val="°sÑAmÏh"/>
      <sheetName val="成本计算单_汇总显示_"/>
      <sheetName val="非应计贷몘횀2002"/>
      <sheetName val="_x001f_0-BS_؁"/>
      <sheetName val="_8004"/>
      <sheetName val="_8025"/>
      <sheetName val="其他货币资金.dbf"/>
      <sheetName val="银行存款.dbf"/>
      <sheetName val="8042"/>
      <sheetName val="Control"/>
      <sheetName val="COVER"/>
      <sheetName val="YS02-02"/>
      <sheetName val="上期报表"/>
      <sheetName val="库存商品余额表.dbf"/>
      <sheetName val="UFPrn20061113135115"/>
      <sheetName val="ZA 货币资金"/>
      <sheetName val="Toolbox"/>
      <sheetName val="佳砼负债表"/>
      <sheetName val="Collateral"/>
      <sheetName val="Disposition"/>
      <sheetName val="b2"/>
      <sheetName val="明细分类账"/>
      <sheetName val="III-1-10"/>
      <sheetName val="III-1-9"/>
      <sheetName val="III-1-1"/>
      <sheetName val="调整分录汇总表（1）"/>
      <sheetName val="清产核资资产负债表 "/>
      <sheetName val="准备工作"/>
      <sheetName val="首先输入"/>
      <sheetName val="_1"/>
      <sheetName val="函证模板"/>
      <sheetName val="函证数据汇总"/>
      <sheetName val="固定资产(原表)"/>
      <sheetName val="11"/>
      <sheetName val="Breakdown"/>
      <sheetName val="明细表"/>
      <sheetName val="ws9"/>
      <sheetName val="流资汇总"/>
      <sheetName val="I110 Breakdown 200812(Audited)"/>
      <sheetName val="成本调整明细表"/>
      <sheetName val="基础条件"/>
      <sheetName val="资对比"/>
      <sheetName val="损对比"/>
      <sheetName val="01065"/>
      <sheetName val="227、JMJD佳美经典"/>
      <sheetName val="2005.01-2005.11余额表"/>
      <sheetName val="生化公司6-7月发生额及余额表"/>
      <sheetName val="应付账款明细账"/>
      <sheetName val="1-7月应付账款余额表"/>
      <sheetName val="124-3-3"/>
      <sheetName val="会计科目表"/>
      <sheetName val="ZH1-4其他应收款个别认定"/>
      <sheetName val="ZH1-3应收账款个别认定"/>
      <sheetName val="数外余额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SW-TEO"/>
      <sheetName val="核算项目余额表"/>
      <sheetName val="抵销表"/>
      <sheetName val="基础表"/>
      <sheetName val="披露表(上市)"/>
      <sheetName val="役"/>
      <sheetName val="其他应付款科目余额2005.12.31"/>
      <sheetName val="A.R 01"/>
      <sheetName val="科目名称"/>
      <sheetName val="会计科目"/>
      <sheetName val="原材料发出计价测试-OK"/>
      <sheetName val="导引表"/>
      <sheetName val="224120 城建税"/>
      <sheetName val="224121 教育费附加"/>
      <sheetName val="EXIT"/>
      <sheetName val="FSA"/>
      <sheetName val="CA Sheet"/>
      <sheetName val="原材料"/>
      <sheetName val="汇总"/>
      <sheetName val="财务费用明细表"/>
      <sheetName val="长期待摊费用明细表"/>
      <sheetName val="食品原料（美爵）"/>
      <sheetName val="清单12.31"/>
      <sheetName val="F9-3-1"/>
      <sheetName val="表二甲机务F型"/>
      <sheetName val="表外项目-银行承兑ｇ秿"/>
      <sheetName val="表外项目_xffff_保函"/>
      <sheetName val="盿-信用证．棿ᚈ"/>
      <sheetName val="III-1-8"/>
      <sheetName val="III-1-4"/>
      <sheetName val="III-1-2-1"/>
      <sheetName val="III-1-6"/>
      <sheetName val="III-1-7"/>
      <sheetName val="III-1-5"/>
      <sheetName val="G102"/>
      <sheetName val="E1020"/>
      <sheetName val="表六 "/>
      <sheetName val="dm"/>
      <sheetName val="sd"/>
      <sheetName val="°sÑ‘AmÏ‘h"/>
      <sheetName val="UFPrn20080725145132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同业存放Ⱦ"/>
      <sheetName val="U1200 PL Int Income"/>
      <sheetName val="A10-1"/>
      <sheetName val="长_x0013_"/>
      <sheetName val="1月应收"/>
      <sheetName val="内部购入存货明细表"/>
      <sheetName val="F1"/>
      <sheetName val="ｺｽﾄｾﾝﾀｰ符号表"/>
      <sheetName val="雇员保险4-6月'01年度"/>
      <sheetName val="U111"/>
      <sheetName val="U100"/>
      <sheetName val="生产部金额"/>
      <sheetName val="Data List"/>
      <sheetName val="设备部房屋"/>
      <sheetName val="F130&quot;"/>
      <sheetName val="_x005f_x001f_0-BS_x005f_x000a_؁"/>
      <sheetName val="9808 Outside Pl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余额表"/>
      <sheetName val="存货"/>
      <sheetName val="原材料"/>
      <sheetName val="包装物"/>
      <sheetName val="低值"/>
      <sheetName val="库存商品"/>
      <sheetName val="B10-2存货跌价"/>
      <sheetName val="B10-3存货帐实核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增支减利分析"/>
      <sheetName val="损益比较"/>
      <sheetName val="损益比较 (2)"/>
      <sheetName val="累计价格-利润"/>
      <sheetName val="价格-利润1"/>
      <sheetName val="价格—利润2"/>
      <sheetName val="销量-收入"/>
      <sheetName val="成本-利润"/>
      <sheetName val="成本-利润2"/>
      <sheetName val="销量-利润"/>
      <sheetName val="销量-利润 (2)"/>
      <sheetName val="材料价格"/>
      <sheetName val="材料价格 (2)"/>
      <sheetName val="材料价格 (3)"/>
      <sheetName val="物耗表"/>
      <sheetName val="物耗表 (2)"/>
      <sheetName val="物耗表 (3)"/>
      <sheetName val="标准成本"/>
      <sheetName val="现金操作累计"/>
      <sheetName val="新品分析"/>
      <sheetName val="目标利润"/>
      <sheetName val="存货"/>
      <sheetName val="货币收支"/>
      <sheetName val="货币收支 (2)"/>
      <sheetName val="应收帐款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量价分析（年度）"/>
      <sheetName val="量价分析（月度)"/>
      <sheetName val="2023年销售量价统计表"/>
      <sheetName val="2022年销售量价统计表"/>
      <sheetName val="费用分析表"/>
      <sheetName val="费用统计表"/>
      <sheetName val="基础财务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制造费用（底稿）"/>
      <sheetName val="目录"/>
      <sheetName val="基础财务数据"/>
      <sheetName val="资产负债、利润（底稿）"/>
      <sheetName val="边际贡献计算利润"/>
      <sheetName val="现金流量（补充资料）"/>
      <sheetName val="劳动生产率（底稿）"/>
      <sheetName val="全员劳动生产率"/>
      <sheetName val="eva roce(底稿）2022年度"/>
      <sheetName val="eva roce(底稿）2023年度 "/>
      <sheetName val="主要分析指标表（底稿）"/>
      <sheetName val="主要财务指标（报表数）"/>
      <sheetName val="热电水务指标"/>
      <sheetName val="生产经营费用表（底稿）"/>
      <sheetName val="吨产品费用"/>
      <sheetName val="原料气燃料气用量"/>
      <sheetName val="天然气价格"/>
      <sheetName val="产品价格"/>
      <sheetName val="甲醇及原材料价格"/>
      <sheetName val="煤炭采购价格比较"/>
      <sheetName val="原材料价格"/>
      <sheetName val="醋酸采购量价分析"/>
      <sheetName val="盈亏平衡点天然气价格"/>
      <sheetName val="各产品边际贡献表 "/>
      <sheetName val="PVA边际贡献总额前十产品"/>
      <sheetName val="PVA边际贡献总额后十产品 "/>
    </sheetNames>
    <sheetDataSet>
      <sheetData sheetId="0" refreshError="1"/>
      <sheetData sheetId="1" refreshError="1"/>
      <sheetData sheetId="2">
        <row r="5">
          <cell r="AM5">
            <v>600878.51</v>
          </cell>
          <cell r="AN5">
            <v>592012.80000000005</v>
          </cell>
          <cell r="AO5">
            <v>592092.1</v>
          </cell>
          <cell r="AP5">
            <v>587363.78</v>
          </cell>
          <cell r="AQ5">
            <v>576090.85</v>
          </cell>
          <cell r="AR5">
            <v>582136.85</v>
          </cell>
          <cell r="AS5">
            <v>564668.65</v>
          </cell>
        </row>
        <row r="7">
          <cell r="AN7">
            <v>11874.8</v>
          </cell>
          <cell r="AO7">
            <v>11841.73</v>
          </cell>
        </row>
        <row r="9">
          <cell r="AN9">
            <v>42444.29</v>
          </cell>
          <cell r="AO9">
            <v>46327.27</v>
          </cell>
          <cell r="AP9">
            <v>47016.43</v>
          </cell>
          <cell r="AQ9">
            <v>44856.65</v>
          </cell>
          <cell r="AR9">
            <v>48924.07</v>
          </cell>
          <cell r="AS9">
            <v>48936.58</v>
          </cell>
        </row>
        <row r="10">
          <cell r="AN10">
            <v>144999.56</v>
          </cell>
          <cell r="AO10">
            <v>143657.24</v>
          </cell>
          <cell r="AP10">
            <v>138020.74</v>
          </cell>
          <cell r="AQ10">
            <v>187447.79</v>
          </cell>
          <cell r="AR10">
            <v>201810.1</v>
          </cell>
          <cell r="AS10">
            <v>193766.21</v>
          </cell>
        </row>
        <row r="16">
          <cell r="AL16">
            <v>454497.94</v>
          </cell>
          <cell r="AN16">
            <v>447013.24</v>
          </cell>
          <cell r="AO16">
            <v>448434.87</v>
          </cell>
          <cell r="AP16">
            <v>449343.04</v>
          </cell>
          <cell r="AQ16">
            <v>388643.06</v>
          </cell>
          <cell r="AR16">
            <v>380326.75</v>
          </cell>
          <cell r="AS16">
            <v>370902.44</v>
          </cell>
        </row>
        <row r="20">
          <cell r="O20">
            <v>41806.050000000003</v>
          </cell>
          <cell r="P20">
            <v>47475.69</v>
          </cell>
          <cell r="Q20">
            <v>60718.080000000002</v>
          </cell>
          <cell r="R20">
            <v>79188.45</v>
          </cell>
          <cell r="S20">
            <v>80949.11</v>
          </cell>
          <cell r="T20">
            <v>76948.38</v>
          </cell>
          <cell r="U20">
            <v>75747.77</v>
          </cell>
          <cell r="V20">
            <v>81174.149999999994</v>
          </cell>
          <cell r="W20">
            <v>83184.460000000006</v>
          </cell>
          <cell r="X20">
            <v>95040.55</v>
          </cell>
          <cell r="Y20">
            <v>81765.33</v>
          </cell>
          <cell r="Z20">
            <v>27324.26</v>
          </cell>
          <cell r="AA20">
            <v>65394.239999999998</v>
          </cell>
          <cell r="AB20">
            <v>76981.539999999994</v>
          </cell>
          <cell r="AC20">
            <v>99474.33</v>
          </cell>
          <cell r="AD20">
            <v>90847.89</v>
          </cell>
          <cell r="AE20">
            <v>68331.62</v>
          </cell>
          <cell r="AF20">
            <v>84925.34</v>
          </cell>
          <cell r="AG20">
            <v>89864.25</v>
          </cell>
          <cell r="AH20">
            <v>74021.09</v>
          </cell>
          <cell r="AI20">
            <v>70870.649999999994</v>
          </cell>
          <cell r="AJ20">
            <v>65079.59</v>
          </cell>
          <cell r="AK20">
            <v>69506.429999999993</v>
          </cell>
          <cell r="AL20">
            <v>64311.199999999997</v>
          </cell>
          <cell r="AN20">
            <v>48753.05</v>
          </cell>
          <cell r="AO20">
            <v>64342.34</v>
          </cell>
          <cell r="AP20">
            <v>73660.63</v>
          </cell>
          <cell r="AQ20">
            <v>73275.360000000001</v>
          </cell>
          <cell r="AR20">
            <v>59465.26</v>
          </cell>
          <cell r="AS20">
            <v>47194.14</v>
          </cell>
        </row>
        <row r="21">
          <cell r="AO21">
            <v>59728.28</v>
          </cell>
        </row>
        <row r="23">
          <cell r="AO23">
            <v>60769.15</v>
          </cell>
        </row>
        <row r="24">
          <cell r="AO24">
            <v>56291.44</v>
          </cell>
        </row>
        <row r="31">
          <cell r="AO31">
            <v>106.75</v>
          </cell>
          <cell r="BC31">
            <v>1661.16</v>
          </cell>
        </row>
        <row r="32">
          <cell r="AO32">
            <v>2293.81</v>
          </cell>
        </row>
        <row r="46">
          <cell r="AN46">
            <v>-7512.17</v>
          </cell>
          <cell r="AO46">
            <v>1344.27</v>
          </cell>
          <cell r="AP46">
            <v>814.02</v>
          </cell>
          <cell r="AQ46">
            <v>269.60000000000002</v>
          </cell>
          <cell r="AR46">
            <v>-8845.92</v>
          </cell>
          <cell r="AS46">
            <v>-9496.48</v>
          </cell>
          <cell r="AZ46">
            <v>-23426.67</v>
          </cell>
          <cell r="BC46">
            <v>-23426.67</v>
          </cell>
        </row>
        <row r="48">
          <cell r="AN48">
            <v>-7512.17</v>
          </cell>
          <cell r="AO48">
            <v>1344.27</v>
          </cell>
          <cell r="AP48">
            <v>805.9</v>
          </cell>
          <cell r="AQ48">
            <v>269.60000000000002</v>
          </cell>
          <cell r="AR48">
            <v>-8369.64</v>
          </cell>
          <cell r="AS48">
            <v>-9494.68</v>
          </cell>
          <cell r="AZ48">
            <v>-22956.720000000001</v>
          </cell>
        </row>
        <row r="50">
          <cell r="O50">
            <v>-16742.71</v>
          </cell>
          <cell r="P50">
            <v>6540.3</v>
          </cell>
          <cell r="Q50">
            <v>-4886.67</v>
          </cell>
          <cell r="R50">
            <v>23154.240000000002</v>
          </cell>
          <cell r="S50">
            <v>23349.41</v>
          </cell>
          <cell r="T50">
            <v>19081.599999999999</v>
          </cell>
          <cell r="U50">
            <v>35492.449999999997</v>
          </cell>
          <cell r="V50">
            <v>9623.7099999999991</v>
          </cell>
          <cell r="W50">
            <v>22362.98</v>
          </cell>
          <cell r="X50">
            <v>30241.200000000001</v>
          </cell>
          <cell r="Y50">
            <v>34617.129999999997</v>
          </cell>
          <cell r="Z50">
            <v>-53979.360000000001</v>
          </cell>
          <cell r="AN50">
            <v>-7295.8</v>
          </cell>
          <cell r="AO50">
            <v>2731.13</v>
          </cell>
          <cell r="AP50">
            <v>109.82</v>
          </cell>
          <cell r="AQ50">
            <v>4993.74</v>
          </cell>
          <cell r="AR50">
            <v>4781.45</v>
          </cell>
          <cell r="AS50">
            <v>-22911.360000000001</v>
          </cell>
        </row>
        <row r="57">
          <cell r="AN57">
            <v>136926.48000000001</v>
          </cell>
          <cell r="AO57">
            <v>135460.54999999999</v>
          </cell>
          <cell r="AP57">
            <v>129133.75999999999</v>
          </cell>
          <cell r="AQ57">
            <v>178721.6</v>
          </cell>
          <cell r="AR57">
            <v>193065.25</v>
          </cell>
          <cell r="AS57">
            <v>185300</v>
          </cell>
        </row>
        <row r="58">
          <cell r="AN58">
            <v>76886.92</v>
          </cell>
          <cell r="AO58">
            <v>80284.27</v>
          </cell>
          <cell r="AP58">
            <v>79059.5</v>
          </cell>
          <cell r="AQ58">
            <v>69995.199999999997</v>
          </cell>
          <cell r="AR58">
            <v>74442.740000000005</v>
          </cell>
          <cell r="AS58">
            <v>67290.47</v>
          </cell>
        </row>
        <row r="60">
          <cell r="AN60">
            <v>-0.73</v>
          </cell>
          <cell r="AO60">
            <v>0.15</v>
          </cell>
          <cell r="AP60">
            <v>0.11</v>
          </cell>
          <cell r="AQ60">
            <v>0.21</v>
          </cell>
          <cell r="AR60">
            <v>-0.87</v>
          </cell>
          <cell r="AS60">
            <v>-0.94</v>
          </cell>
          <cell r="AT60">
            <v>2.08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</row>
        <row r="66">
          <cell r="AA66">
            <v>8971762.5299999993</v>
          </cell>
          <cell r="AB66">
            <v>60838436.780000001</v>
          </cell>
          <cell r="AC66">
            <v>188214250.49000001</v>
          </cell>
          <cell r="AD66">
            <v>265252985.96000001</v>
          </cell>
          <cell r="AE66">
            <v>147266489.46000001</v>
          </cell>
          <cell r="AF66">
            <v>195650899.81999999</v>
          </cell>
          <cell r="AG66">
            <v>222062458.08000001</v>
          </cell>
          <cell r="AH66">
            <v>109138141.22</v>
          </cell>
          <cell r="AI66">
            <v>64470195.219999999</v>
          </cell>
          <cell r="AJ66">
            <v>25231505.109999999</v>
          </cell>
          <cell r="AK66">
            <v>2650012.63</v>
          </cell>
          <cell r="AL66">
            <v>-86357655.939999998</v>
          </cell>
          <cell r="AN66">
            <v>-70957063.5</v>
          </cell>
          <cell r="AO66">
            <v>11598328.18</v>
          </cell>
          <cell r="AP66">
            <v>8313544.9299999997</v>
          </cell>
          <cell r="AQ66">
            <v>2937934.86</v>
          </cell>
          <cell r="AR66">
            <v>-88349241.109999999</v>
          </cell>
          <cell r="AS66">
            <v>-95254724.269999996</v>
          </cell>
        </row>
      </sheetData>
      <sheetData sheetId="3">
        <row r="11">
          <cell r="C11">
            <v>75798539.549999997</v>
          </cell>
        </row>
        <row r="17">
          <cell r="C17">
            <v>489365821.44</v>
          </cell>
        </row>
        <row r="22">
          <cell r="C22">
            <v>672904713.79999995</v>
          </cell>
        </row>
        <row r="23">
          <cell r="G23">
            <v>1852999953.3599999</v>
          </cell>
        </row>
        <row r="33">
          <cell r="C33">
            <v>11886469369.43</v>
          </cell>
          <cell r="L33">
            <v>11835724397.059999</v>
          </cell>
        </row>
        <row r="78">
          <cell r="I78">
            <v>106932952.65000001</v>
          </cell>
          <cell r="J78">
            <v>78682802.010000005</v>
          </cell>
          <cell r="K78">
            <v>28250150.640000001</v>
          </cell>
        </row>
        <row r="84">
          <cell r="C84">
            <v>-94964761.569999993</v>
          </cell>
        </row>
      </sheetData>
      <sheetData sheetId="4" refreshError="1"/>
      <sheetData sheetId="5" refreshError="1"/>
      <sheetData sheetId="6">
        <row r="20">
          <cell r="C20">
            <v>66055764.159999996</v>
          </cell>
          <cell r="D20">
            <v>334684863.38999999</v>
          </cell>
        </row>
      </sheetData>
      <sheetData sheetId="7">
        <row r="5">
          <cell r="AH5">
            <v>2.89</v>
          </cell>
          <cell r="AI5">
            <v>3.78</v>
          </cell>
          <cell r="AJ5">
            <v>5.47</v>
          </cell>
          <cell r="AK5">
            <v>0.95</v>
          </cell>
          <cell r="AL5">
            <v>0.65</v>
          </cell>
        </row>
      </sheetData>
      <sheetData sheetId="8" refreshError="1"/>
      <sheetData sheetId="9" refreshError="1"/>
      <sheetData sheetId="10">
        <row r="6">
          <cell r="G6">
            <v>1.26</v>
          </cell>
        </row>
        <row r="8">
          <cell r="G8">
            <v>16.34</v>
          </cell>
        </row>
        <row r="9">
          <cell r="G9">
            <v>91.69</v>
          </cell>
        </row>
        <row r="14">
          <cell r="G14">
            <v>34.32</v>
          </cell>
        </row>
        <row r="18">
          <cell r="G18">
            <v>5.53</v>
          </cell>
        </row>
        <row r="20">
          <cell r="G20">
            <v>-24.54</v>
          </cell>
        </row>
        <row r="21">
          <cell r="G21">
            <v>-126.75</v>
          </cell>
        </row>
        <row r="24">
          <cell r="G24">
            <v>-12.05</v>
          </cell>
        </row>
        <row r="28">
          <cell r="G28">
            <v>-295320881.63</v>
          </cell>
        </row>
        <row r="29">
          <cell r="C29">
            <v>-11.13</v>
          </cell>
          <cell r="G29">
            <v>-5.55</v>
          </cell>
        </row>
        <row r="30">
          <cell r="C30">
            <v>-11.13</v>
          </cell>
          <cell r="G30">
            <v>303233.13</v>
          </cell>
        </row>
        <row r="31">
          <cell r="G31">
            <v>0.9</v>
          </cell>
        </row>
        <row r="32">
          <cell r="C32">
            <v>-6.32</v>
          </cell>
        </row>
        <row r="33">
          <cell r="C33">
            <v>-1.01</v>
          </cell>
        </row>
        <row r="37">
          <cell r="C37">
            <v>1.4</v>
          </cell>
        </row>
        <row r="44">
          <cell r="O44">
            <v>83854.720000000001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制造费用（底稿）"/>
      <sheetName val="资产负债、利润（底稿）"/>
      <sheetName val="目录"/>
      <sheetName val="基础财务数据"/>
      <sheetName val="边际贡献计算利润"/>
      <sheetName val="现金流量（补充资料）"/>
      <sheetName val="劳动生产率（底稿）"/>
      <sheetName val="全员劳动生产率"/>
      <sheetName val="生产经营费用表（底稿）"/>
      <sheetName val="吨产品费用"/>
      <sheetName val="eva roce(底稿）"/>
      <sheetName val="主要财务指标（报表数）"/>
      <sheetName val="主要分析指标表（底稿）"/>
      <sheetName val="热电水务指标"/>
      <sheetName val="天然气价格"/>
      <sheetName val="产品价格"/>
      <sheetName val="甲醇及原材料价格"/>
      <sheetName val="煤炭采购价格比较"/>
      <sheetName val="原材料价格"/>
      <sheetName val="醋酸采购量价分析"/>
      <sheetName val="盈亏平衡点天然气价格"/>
      <sheetName val="各产品边际贡献表"/>
      <sheetName val="PVA边际贡献总额前十产品"/>
      <sheetName val="PVA边际贡献总额后十产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B5">
            <v>1184242705.5599999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2F38-1DAE-4BEC-AAD9-551DD92A6B6C}">
  <dimension ref="A1:IV34"/>
  <sheetViews>
    <sheetView tabSelected="1" zoomScaleSheetLayoutView="100" workbookViewId="0">
      <pane xSplit="2" ySplit="4" topLeftCell="D5" activePane="bottomRight" state="frozen"/>
      <selection pane="topRight"/>
      <selection pane="bottomLeft"/>
      <selection pane="bottomRight" activeCell="B10" sqref="A10:IV10"/>
    </sheetView>
  </sheetViews>
  <sheetFormatPr defaultColWidth="10" defaultRowHeight="14.15" x14ac:dyDescent="0.3"/>
  <cols>
    <col min="1" max="1" width="10" style="1" customWidth="1"/>
    <col min="2" max="2" width="28.84375" style="3" customWidth="1"/>
    <col min="3" max="5" width="11.69140625" style="3" customWidth="1"/>
    <col min="6" max="8" width="12.765625" style="3" customWidth="1"/>
    <col min="9" max="9" width="8.53515625" style="3" hidden="1" customWidth="1"/>
    <col min="10" max="11" width="10.53515625" style="3" hidden="1" customWidth="1"/>
    <col min="12" max="19" width="11.921875" style="3" hidden="1" customWidth="1"/>
    <col min="20" max="20" width="13" style="3" hidden="1" customWidth="1"/>
    <col min="21" max="32" width="13" style="3" customWidth="1"/>
    <col min="33" max="33" width="11.4609375" style="3" customWidth="1"/>
    <col min="34" max="34" width="13" style="3" customWidth="1"/>
    <col min="35" max="38" width="12.69140625" style="3" customWidth="1"/>
    <col min="39" max="44" width="12.69140625" style="3" hidden="1" customWidth="1"/>
    <col min="45" max="45" width="12.69140625" style="3" customWidth="1"/>
    <col min="46" max="46" width="12.765625" style="3" hidden="1" customWidth="1"/>
    <col min="47" max="47" width="14.3046875" style="3" hidden="1" customWidth="1"/>
    <col min="48" max="48" width="13" style="3" bestFit="1" customWidth="1"/>
    <col min="49" max="49" width="10" style="3" hidden="1" customWidth="1"/>
    <col min="50" max="256" width="10" style="3"/>
  </cols>
  <sheetData>
    <row r="1" spans="1:49" ht="26.15" x14ac:dyDescent="0.3">
      <c r="A1" s="24" t="s">
        <v>0</v>
      </c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9" x14ac:dyDescent="0.3">
      <c r="B2" s="5"/>
    </row>
    <row r="3" spans="1:49" s="1" customFormat="1" x14ac:dyDescent="0.3">
      <c r="A3" s="31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28" t="s">
        <v>6</v>
      </c>
      <c r="G3" s="28" t="s">
        <v>7</v>
      </c>
      <c r="H3" s="28" t="s">
        <v>8</v>
      </c>
      <c r="I3" s="26" t="s">
        <v>9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 t="s">
        <v>10</v>
      </c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6" t="s">
        <v>11</v>
      </c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14" t="s">
        <v>12</v>
      </c>
      <c r="AU3" s="14" t="s">
        <v>12</v>
      </c>
    </row>
    <row r="4" spans="1:49" s="1" customFormat="1" x14ac:dyDescent="0.3">
      <c r="A4" s="32"/>
      <c r="B4" s="32"/>
      <c r="C4" s="32"/>
      <c r="D4" s="32"/>
      <c r="E4" s="32"/>
      <c r="F4" s="29"/>
      <c r="G4" s="29"/>
      <c r="H4" s="29"/>
      <c r="I4" s="13" t="s">
        <v>13</v>
      </c>
      <c r="J4" s="13" t="s">
        <v>14</v>
      </c>
      <c r="K4" s="13" t="s">
        <v>15</v>
      </c>
      <c r="L4" s="13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  <c r="T4" s="13" t="s">
        <v>24</v>
      </c>
      <c r="U4" s="13" t="s">
        <v>13</v>
      </c>
      <c r="V4" s="13" t="s">
        <v>14</v>
      </c>
      <c r="W4" s="13" t="s">
        <v>15</v>
      </c>
      <c r="X4" s="13" t="s">
        <v>16</v>
      </c>
      <c r="Y4" s="13" t="s">
        <v>17</v>
      </c>
      <c r="Z4" s="13" t="s">
        <v>18</v>
      </c>
      <c r="AA4" s="13" t="s">
        <v>19</v>
      </c>
      <c r="AB4" s="13" t="s">
        <v>20</v>
      </c>
      <c r="AC4" s="13" t="s">
        <v>21</v>
      </c>
      <c r="AD4" s="13" t="s">
        <v>22</v>
      </c>
      <c r="AE4" s="13" t="s">
        <v>23</v>
      </c>
      <c r="AF4" s="13" t="s">
        <v>24</v>
      </c>
      <c r="AG4" s="13" t="s">
        <v>13</v>
      </c>
      <c r="AH4" s="13" t="s">
        <v>14</v>
      </c>
      <c r="AI4" s="13" t="s">
        <v>15</v>
      </c>
      <c r="AJ4" s="13" t="s">
        <v>16</v>
      </c>
      <c r="AK4" s="13" t="s">
        <v>17</v>
      </c>
      <c r="AL4" s="13" t="s">
        <v>18</v>
      </c>
      <c r="AM4" s="13" t="s">
        <v>19</v>
      </c>
      <c r="AN4" s="13" t="s">
        <v>20</v>
      </c>
      <c r="AO4" s="13" t="s">
        <v>21</v>
      </c>
      <c r="AP4" s="13" t="s">
        <v>22</v>
      </c>
      <c r="AQ4" s="13" t="s">
        <v>23</v>
      </c>
      <c r="AR4" s="13" t="s">
        <v>24</v>
      </c>
      <c r="AS4" s="13" t="s">
        <v>25</v>
      </c>
      <c r="AT4" s="13" t="s">
        <v>26</v>
      </c>
      <c r="AU4" s="13" t="s">
        <v>27</v>
      </c>
    </row>
    <row r="5" spans="1:49" s="2" customFormat="1" x14ac:dyDescent="0.3">
      <c r="A5" s="30" t="s">
        <v>28</v>
      </c>
      <c r="B5" s="6" t="s">
        <v>29</v>
      </c>
      <c r="C5" s="7">
        <v>6711.61</v>
      </c>
      <c r="D5" s="7">
        <v>10560.68</v>
      </c>
      <c r="E5" s="7">
        <v>11207</v>
      </c>
      <c r="F5" s="7">
        <v>-28039.37</v>
      </c>
      <c r="G5" s="7">
        <v>130688.46</v>
      </c>
      <c r="H5" s="8">
        <v>117467.79</v>
      </c>
      <c r="I5" s="7">
        <v>128.1</v>
      </c>
      <c r="J5" s="7">
        <v>1559.79</v>
      </c>
      <c r="K5" s="7">
        <v>6904.08</v>
      </c>
      <c r="L5" s="7">
        <v>12680.2</v>
      </c>
      <c r="M5" s="7">
        <v>15888.91</v>
      </c>
      <c r="N5" s="7">
        <v>17126.560000000001</v>
      </c>
      <c r="O5" s="7">
        <v>14267.67</v>
      </c>
      <c r="P5" s="7">
        <v>12929.48</v>
      </c>
      <c r="Q5" s="7">
        <v>17664.28</v>
      </c>
      <c r="R5" s="7">
        <v>23599.75</v>
      </c>
      <c r="S5" s="7">
        <v>18347.830000000002</v>
      </c>
      <c r="T5" s="7">
        <v>-10408.200000000001</v>
      </c>
      <c r="U5" s="7">
        <v>871.13</v>
      </c>
      <c r="V5" s="7">
        <v>6044.58</v>
      </c>
      <c r="W5" s="7">
        <v>18821.080000000002</v>
      </c>
      <c r="X5" s="7">
        <v>26499.07</v>
      </c>
      <c r="Y5" s="7">
        <v>14703.68</v>
      </c>
      <c r="Z5" s="7">
        <v>19573.63</v>
      </c>
      <c r="AA5" s="7">
        <v>21835.91</v>
      </c>
      <c r="AB5" s="7">
        <v>10885.34</v>
      </c>
      <c r="AC5" s="7">
        <v>6507.94</v>
      </c>
      <c r="AD5" s="7">
        <v>2495.5300000000002</v>
      </c>
      <c r="AE5" s="7">
        <v>247.79</v>
      </c>
      <c r="AF5" s="8">
        <v>-11017.89</v>
      </c>
      <c r="AG5" s="7">
        <f>[5]基础财务数据!AN46</f>
        <v>-7512.17</v>
      </c>
      <c r="AH5" s="7">
        <f>[5]基础财务数据!AO46</f>
        <v>1344.27</v>
      </c>
      <c r="AI5" s="7">
        <f>[5]基础财务数据!AP46</f>
        <v>814.02</v>
      </c>
      <c r="AJ5" s="7">
        <f>[5]基础财务数据!AQ46</f>
        <v>269.60000000000002</v>
      </c>
      <c r="AK5" s="7">
        <f>[5]基础财务数据!AR46</f>
        <v>-8845.92</v>
      </c>
      <c r="AL5" s="7">
        <f>[5]基础财务数据!AS46</f>
        <v>-9496.48</v>
      </c>
      <c r="AM5" s="7">
        <f>[5]基础财务数据!AT46</f>
        <v>0</v>
      </c>
      <c r="AN5" s="7">
        <f>[5]基础财务数据!AU46</f>
        <v>0</v>
      </c>
      <c r="AO5" s="7">
        <f>[5]基础财务数据!AV46</f>
        <v>0</v>
      </c>
      <c r="AP5" s="7">
        <f>[5]基础财务数据!AW46</f>
        <v>0</v>
      </c>
      <c r="AQ5" s="7">
        <f>[5]基础财务数据!AX46</f>
        <v>0</v>
      </c>
      <c r="AR5" s="7">
        <f>[5]基础财务数据!AY46</f>
        <v>0</v>
      </c>
      <c r="AS5" s="7">
        <f>[5]基础财务数据!AZ46</f>
        <v>-23426.67</v>
      </c>
      <c r="AT5" s="15"/>
      <c r="AU5" s="15"/>
      <c r="AV5" s="16"/>
    </row>
    <row r="6" spans="1:49" s="2" customFormat="1" x14ac:dyDescent="0.3">
      <c r="A6" s="30"/>
      <c r="B6" s="6" t="s">
        <v>30</v>
      </c>
      <c r="C6" s="7">
        <v>26492.38</v>
      </c>
      <c r="D6" s="7">
        <v>13342.04</v>
      </c>
      <c r="E6" s="7">
        <v>2799.01</v>
      </c>
      <c r="F6" s="7">
        <v>-29465.96</v>
      </c>
      <c r="G6" s="7">
        <v>112874.56</v>
      </c>
      <c r="H6" s="8">
        <v>101993</v>
      </c>
      <c r="I6" s="7">
        <v>128.1</v>
      </c>
      <c r="J6" s="7">
        <v>1559.79</v>
      </c>
      <c r="K6" s="7">
        <v>6901.43</v>
      </c>
      <c r="L6" s="7">
        <v>12680.2</v>
      </c>
      <c r="M6" s="7">
        <v>15888.91</v>
      </c>
      <c r="N6" s="7">
        <v>17126.560000000001</v>
      </c>
      <c r="O6" s="7">
        <v>3111</v>
      </c>
      <c r="P6" s="7">
        <v>12929.48</v>
      </c>
      <c r="Q6" s="7">
        <v>17664.28</v>
      </c>
      <c r="R6" s="7">
        <v>23599.91</v>
      </c>
      <c r="S6" s="7">
        <v>18347.830000000002</v>
      </c>
      <c r="T6" s="7">
        <v>-17062.93</v>
      </c>
      <c r="U6" s="7">
        <v>870.95</v>
      </c>
      <c r="V6" s="7">
        <v>6044.58</v>
      </c>
      <c r="W6" s="7">
        <v>16025.14</v>
      </c>
      <c r="X6" s="7">
        <v>22757.93</v>
      </c>
      <c r="Y6" s="7">
        <v>14234.88</v>
      </c>
      <c r="Z6" s="7">
        <v>16921.5</v>
      </c>
      <c r="AA6" s="7">
        <v>18793.009999999998</v>
      </c>
      <c r="AB6" s="7">
        <v>9398.9599999999991</v>
      </c>
      <c r="AC6" s="7">
        <v>5621.17</v>
      </c>
      <c r="AD6" s="7">
        <v>2197.38</v>
      </c>
      <c r="AE6" s="7">
        <v>247.79</v>
      </c>
      <c r="AF6" s="8">
        <v>-11120.29</v>
      </c>
      <c r="AG6" s="7">
        <f>[5]基础财务数据!AN48</f>
        <v>-7512.17</v>
      </c>
      <c r="AH6" s="7">
        <f>[5]基础财务数据!AO48</f>
        <v>1344.27</v>
      </c>
      <c r="AI6" s="7">
        <f>[5]基础财务数据!AP48</f>
        <v>805.9</v>
      </c>
      <c r="AJ6" s="7">
        <f>[5]基础财务数据!AQ48</f>
        <v>269.60000000000002</v>
      </c>
      <c r="AK6" s="7">
        <f>[5]基础财务数据!AR48</f>
        <v>-8369.64</v>
      </c>
      <c r="AL6" s="7">
        <f>[5]基础财务数据!AS48</f>
        <v>-9494.68</v>
      </c>
      <c r="AM6" s="7">
        <f>[5]基础财务数据!AT48</f>
        <v>0</v>
      </c>
      <c r="AN6" s="7">
        <f>[5]基础财务数据!AU48</f>
        <v>0</v>
      </c>
      <c r="AO6" s="7">
        <f>[5]基础财务数据!AV48</f>
        <v>0</v>
      </c>
      <c r="AP6" s="7">
        <f>[5]基础财务数据!AW48</f>
        <v>0</v>
      </c>
      <c r="AQ6" s="7">
        <f>[5]基础财务数据!AX48</f>
        <v>0</v>
      </c>
      <c r="AR6" s="7">
        <f>[5]基础财务数据!AY48</f>
        <v>0</v>
      </c>
      <c r="AS6" s="7">
        <f>[5]基础财务数据!AZ48</f>
        <v>-22956.720000000001</v>
      </c>
      <c r="AT6" s="15"/>
      <c r="AU6" s="15"/>
      <c r="AV6" s="16"/>
    </row>
    <row r="7" spans="1:49" s="2" customFormat="1" x14ac:dyDescent="0.3">
      <c r="A7" s="30"/>
      <c r="B7" s="6" t="s">
        <v>31</v>
      </c>
      <c r="C7" s="7">
        <v>87.37</v>
      </c>
      <c r="D7" s="7">
        <v>51.8</v>
      </c>
      <c r="E7" s="7">
        <v>51.67</v>
      </c>
      <c r="F7" s="7">
        <v>55.91</v>
      </c>
      <c r="G7" s="7">
        <v>39.18</v>
      </c>
      <c r="H7" s="8">
        <v>24.36</v>
      </c>
      <c r="I7" s="7">
        <v>54.58</v>
      </c>
      <c r="J7" s="7">
        <v>54.81</v>
      </c>
      <c r="K7" s="7">
        <v>53</v>
      </c>
      <c r="L7" s="7">
        <v>53.31</v>
      </c>
      <c r="M7" s="7">
        <v>51.95</v>
      </c>
      <c r="N7" s="7">
        <v>48.98</v>
      </c>
      <c r="O7" s="7">
        <v>48.61</v>
      </c>
      <c r="P7" s="7">
        <v>46.39</v>
      </c>
      <c r="Q7" s="7">
        <v>43.71</v>
      </c>
      <c r="R7" s="7">
        <v>41.89</v>
      </c>
      <c r="S7" s="7">
        <v>41.41</v>
      </c>
      <c r="T7" s="7">
        <v>39.18</v>
      </c>
      <c r="U7" s="7">
        <v>38.85</v>
      </c>
      <c r="V7" s="7">
        <v>38.56</v>
      </c>
      <c r="W7" s="7">
        <v>37.49</v>
      </c>
      <c r="X7" s="7">
        <v>34.380000000000003</v>
      </c>
      <c r="Y7" s="7">
        <v>33.020000000000003</v>
      </c>
      <c r="Z7" s="7">
        <v>27.74</v>
      </c>
      <c r="AA7" s="7">
        <v>26.59</v>
      </c>
      <c r="AB7" s="7">
        <v>24.84</v>
      </c>
      <c r="AC7" s="7">
        <v>25.42</v>
      </c>
      <c r="AD7" s="7">
        <v>25.86</v>
      </c>
      <c r="AE7" s="7">
        <v>27.22</v>
      </c>
      <c r="AF7" s="8">
        <v>24.36</v>
      </c>
      <c r="AG7" s="7">
        <f>[5]基础财务数据!AN10/[5]基础财务数据!AN5*100</f>
        <v>24.492639348338415</v>
      </c>
      <c r="AH7" s="7">
        <f>[5]基础财务数据!AO10/[5]基础财务数据!AO5*100</f>
        <v>24.262651030135345</v>
      </c>
      <c r="AI7" s="7">
        <f>[5]基础财务数据!AP10/[5]基础财务数据!AP5*100</f>
        <v>23.498340330076189</v>
      </c>
      <c r="AJ7" s="7">
        <f>[5]基础财务数据!AQ10/[5]基础财务数据!AQ5*100</f>
        <v>32.537887036393656</v>
      </c>
      <c r="AK7" s="7">
        <f>[5]基础财务数据!AR10/[5]基础财务数据!AR5*100</f>
        <v>34.667123374855926</v>
      </c>
      <c r="AL7" s="7">
        <f>[5]基础财务数据!AS10/[5]基础财务数据!AS5*100</f>
        <v>34.315028822655549</v>
      </c>
      <c r="AM7" s="7" t="e">
        <f>[5]基础财务数据!AT10/[5]基础财务数据!AT5*100</f>
        <v>#DIV/0!</v>
      </c>
      <c r="AN7" s="7" t="e">
        <f>[5]基础财务数据!AU10/[5]基础财务数据!AU5*100</f>
        <v>#DIV/0!</v>
      </c>
      <c r="AO7" s="7" t="e">
        <f>[5]基础财务数据!AV10/[5]基础财务数据!AV5*100</f>
        <v>#DIV/0!</v>
      </c>
      <c r="AP7" s="7" t="e">
        <f>[5]基础财务数据!AW10/[5]基础财务数据!AW5*100</f>
        <v>#DIV/0!</v>
      </c>
      <c r="AQ7" s="7" t="e">
        <f>[5]基础财务数据!AX10/[5]基础财务数据!AX5*100</f>
        <v>#DIV/0!</v>
      </c>
      <c r="AR7" s="7" t="e">
        <f>[5]基础财务数据!AY10/[5]基础财务数据!AY5*100</f>
        <v>#DIV/0!</v>
      </c>
      <c r="AS7" s="8">
        <v>34.32</v>
      </c>
      <c r="AT7" s="15"/>
      <c r="AU7" s="15">
        <f>'[5]主要分析指标表（底稿）'!G14</f>
        <v>34.32</v>
      </c>
      <c r="AV7" s="16"/>
    </row>
    <row r="8" spans="1:49" s="2" customFormat="1" ht="14.05" customHeight="1" x14ac:dyDescent="0.3">
      <c r="A8" s="30"/>
      <c r="B8" s="6" t="s">
        <v>32</v>
      </c>
      <c r="C8" s="7">
        <v>30.75</v>
      </c>
      <c r="D8" s="7">
        <v>6.93</v>
      </c>
      <c r="E8" s="7">
        <v>0.98</v>
      </c>
      <c r="F8" s="7">
        <v>-10.47</v>
      </c>
      <c r="G8" s="7">
        <v>34.520000000000003</v>
      </c>
      <c r="H8" s="8">
        <v>24.53</v>
      </c>
      <c r="I8" s="7">
        <v>0.05</v>
      </c>
      <c r="J8" s="7">
        <v>0.56000000000000005</v>
      </c>
      <c r="K8" s="7">
        <v>2.4500000000000002</v>
      </c>
      <c r="L8" s="7">
        <v>4.38</v>
      </c>
      <c r="M8" s="7">
        <v>5.28</v>
      </c>
      <c r="N8" s="7">
        <v>5.4</v>
      </c>
      <c r="O8" s="7">
        <v>0.95</v>
      </c>
      <c r="P8" s="7">
        <v>3.89</v>
      </c>
      <c r="Q8" s="7">
        <v>5.08</v>
      </c>
      <c r="R8" s="7">
        <v>6.44</v>
      </c>
      <c r="S8" s="7">
        <v>4.75</v>
      </c>
      <c r="T8" s="7">
        <v>-4.42</v>
      </c>
      <c r="U8" s="7">
        <v>0.23</v>
      </c>
      <c r="V8" s="7">
        <v>1.59</v>
      </c>
      <c r="W8" s="7">
        <v>4.12</v>
      </c>
      <c r="X8" s="7">
        <v>5.75</v>
      </c>
      <c r="Y8" s="7">
        <v>3.53</v>
      </c>
      <c r="Z8" s="7">
        <v>4.1100000000000003</v>
      </c>
      <c r="AA8" s="7">
        <v>4.49</v>
      </c>
      <c r="AB8" s="7">
        <v>2.2200000000000002</v>
      </c>
      <c r="AC8" s="7">
        <v>1.32</v>
      </c>
      <c r="AD8" s="7">
        <v>0.52</v>
      </c>
      <c r="AE8" s="7">
        <v>0.06</v>
      </c>
      <c r="AF8" s="8">
        <v>-2.67</v>
      </c>
      <c r="AG8" s="7">
        <f>[5]基础财务数据!AN48/([5]基础财务数据!AL16+[5]基础财务数据!AN16)*2*100</f>
        <v>-1.6665727872614957</v>
      </c>
      <c r="AH8" s="7">
        <f>[5]基础财务数据!AO48/([5]基础财务数据!AN16+[5]基础财务数据!AO16)*2*100</f>
        <v>0.30024520348811728</v>
      </c>
      <c r="AI8" s="7">
        <f>[5]基础财务数据!AP48/([5]基础财务数据!AO16+[5]基础财务数据!AP16)*2*100</f>
        <v>0.17953215177682419</v>
      </c>
      <c r="AJ8" s="7">
        <f>[5]基础财务数据!AQ48/([5]基础财务数据!AP16+[5]基础财务数据!AQ16)*2*100</f>
        <v>6.4344742711126113E-2</v>
      </c>
      <c r="AK8" s="7">
        <f>[5]基础财务数据!AR48/([5]基础财务数据!AQ16+[5]基础财务数据!AR16)*2*100</f>
        <v>-2.1768448880977522</v>
      </c>
      <c r="AL8" s="7">
        <f>[5]基础财务数据!AS48/([5]基础财务数据!AR16+[5]基础财务数据!AS16)*2*100</f>
        <v>-2.5277718508249132</v>
      </c>
      <c r="AM8" s="7">
        <f>[5]基础财务数据!AT48/([5]基础财务数据!AS16+[5]基础财务数据!AT16)*2*100</f>
        <v>0</v>
      </c>
      <c r="AN8" s="7" t="e">
        <f>[5]基础财务数据!AU48/([5]基础财务数据!AT16+[5]基础财务数据!AU16)*2*100</f>
        <v>#DIV/0!</v>
      </c>
      <c r="AO8" s="7" t="e">
        <f>[5]基础财务数据!AV48/([5]基础财务数据!AU16+[5]基础财务数据!AV16)*2*100</f>
        <v>#DIV/0!</v>
      </c>
      <c r="AP8" s="7" t="e">
        <f>[5]基础财务数据!AW48/([5]基础财务数据!AV16+[5]基础财务数据!AW16)*2*100</f>
        <v>#DIV/0!</v>
      </c>
      <c r="AQ8" s="7" t="e">
        <f>[5]基础财务数据!AX48/([5]基础财务数据!AW16+[5]基础财务数据!AX16)*2*100</f>
        <v>#DIV/0!</v>
      </c>
      <c r="AR8" s="7" t="e">
        <f>[5]基础财务数据!AY48/([5]基础财务数据!AX16+[5]基础财务数据!AY16)*2*100</f>
        <v>#DIV/0!</v>
      </c>
      <c r="AS8" s="8">
        <v>-11.13</v>
      </c>
      <c r="AT8" s="15"/>
      <c r="AU8" s="17">
        <f>'[5]主要分析指标表（底稿）'!C29</f>
        <v>-11.13</v>
      </c>
      <c r="AV8" s="16"/>
    </row>
    <row r="9" spans="1:49" s="2" customFormat="1" x14ac:dyDescent="0.3">
      <c r="A9" s="30"/>
      <c r="B9" s="6" t="s">
        <v>33</v>
      </c>
      <c r="C9" s="7">
        <v>8.7899999999999991</v>
      </c>
      <c r="D9" s="7">
        <v>10.96</v>
      </c>
      <c r="E9" s="7">
        <v>7.44</v>
      </c>
      <c r="F9" s="7">
        <v>1.28</v>
      </c>
      <c r="G9" s="7">
        <v>17.100000000000001</v>
      </c>
      <c r="H9" s="8">
        <v>12.39</v>
      </c>
      <c r="I9" s="7">
        <f>[5]基础财务数据!O50/[5]基础财务数据!O20*100</f>
        <v>-40.048533645249904</v>
      </c>
      <c r="J9" s="7">
        <f>[5]基础财务数据!P50/[5]基础财务数据!P20*100</f>
        <v>13.776103096131937</v>
      </c>
      <c r="K9" s="7">
        <f>[5]基础财务数据!Q50/[5]基础财务数据!Q20*100</f>
        <v>-8.0481299803946378</v>
      </c>
      <c r="L9" s="7">
        <f>[5]基础财务数据!R50/[5]基础财务数据!R20*100</f>
        <v>29.239415596592689</v>
      </c>
      <c r="M9" s="7">
        <f>[5]基础财务数据!S50/[5]基础财务数据!S20*100</f>
        <v>28.844554313197513</v>
      </c>
      <c r="N9" s="7">
        <f>[5]基础财务数据!T50/[5]基础财务数据!T20*100</f>
        <v>24.797922971217844</v>
      </c>
      <c r="O9" s="7">
        <f>[5]基础财务数据!U50/[5]基础财务数据!U20*100</f>
        <v>46.856098866012815</v>
      </c>
      <c r="P9" s="7">
        <f>[5]基础财务数据!V50/[5]基础财务数据!V20*100</f>
        <v>11.855633844025469</v>
      </c>
      <c r="Q9" s="7">
        <f>[5]基础财务数据!W50/[5]基础财务数据!W20*100</f>
        <v>26.883603019121598</v>
      </c>
      <c r="R9" s="7">
        <f>[5]基础财务数据!X50/[5]基础财务数据!X20*100</f>
        <v>31.819260305206566</v>
      </c>
      <c r="S9" s="7">
        <f>[5]基础财务数据!Y50/[5]基础财务数据!Y20*100</f>
        <v>42.337173958693732</v>
      </c>
      <c r="T9" s="7">
        <f>[5]基础财务数据!Z50/[5]基础财务数据!Z20*100</f>
        <v>-197.55104072351824</v>
      </c>
      <c r="U9" s="7">
        <v>12.36</v>
      </c>
      <c r="V9" s="7">
        <v>19.41</v>
      </c>
      <c r="W9" s="7">
        <v>36.29</v>
      </c>
      <c r="X9" s="7">
        <v>27.66</v>
      </c>
      <c r="Y9" s="7">
        <v>15.89</v>
      </c>
      <c r="Z9" s="7">
        <v>32.44</v>
      </c>
      <c r="AA9" s="7">
        <v>10.4</v>
      </c>
      <c r="AB9" s="7">
        <v>0.96</v>
      </c>
      <c r="AC9" s="7">
        <v>15.1</v>
      </c>
      <c r="AD9" s="7">
        <v>2.5499999999999998</v>
      </c>
      <c r="AE9" s="7">
        <v>6.89</v>
      </c>
      <c r="AF9" s="7">
        <v>-31.32</v>
      </c>
      <c r="AG9" s="7">
        <f>[5]基础财务数据!AN50/[5]基础财务数据!AN20*100</f>
        <v>-14.964807330002944</v>
      </c>
      <c r="AH9" s="7">
        <f>[5]基础财务数据!AO50/[5]基础财务数据!AO20*100</f>
        <v>4.2446855367709668</v>
      </c>
      <c r="AI9" s="7">
        <f>[5]基础财务数据!AP50/[5]基础财务数据!AP20*100</f>
        <v>0.149089140291089</v>
      </c>
      <c r="AJ9" s="7">
        <f>[5]基础财务数据!AQ50/[5]基础财务数据!AQ20*100</f>
        <v>6.815033047944083</v>
      </c>
      <c r="AK9" s="7">
        <f>[5]基础财务数据!AR50/[5]基础财务数据!AR20*100</f>
        <v>8.0407451342178611</v>
      </c>
      <c r="AL9" s="7">
        <f>[5]基础财务数据!AS50/[5]基础财务数据!AS20*100</f>
        <v>-48.547044188113183</v>
      </c>
      <c r="AM9" s="7" t="e">
        <f>[5]基础财务数据!AT50/[5]基础财务数据!AT20*100</f>
        <v>#DIV/0!</v>
      </c>
      <c r="AN9" s="7" t="e">
        <f>[5]基础财务数据!AU50/[5]基础财务数据!AU20*100</f>
        <v>#DIV/0!</v>
      </c>
      <c r="AO9" s="7" t="e">
        <f>[5]基础财务数据!AV50/[5]基础财务数据!AV20*100</f>
        <v>#DIV/0!</v>
      </c>
      <c r="AP9" s="7" t="e">
        <f>[5]基础财务数据!AW50/[5]基础财务数据!AW20*100</f>
        <v>#DIV/0!</v>
      </c>
      <c r="AQ9" s="7" t="e">
        <f>[5]基础财务数据!AX50/[5]基础财务数据!AX20*100</f>
        <v>#DIV/0!</v>
      </c>
      <c r="AR9" s="7" t="e">
        <f>[5]基础财务数据!AY50/[5]基础财务数据!AY20*100</f>
        <v>#DIV/0!</v>
      </c>
      <c r="AS9" s="8">
        <v>1.4</v>
      </c>
      <c r="AT9" s="7"/>
      <c r="AU9" s="15">
        <f>'[5]主要分析指标表（底稿）'!C37</f>
        <v>1.4</v>
      </c>
      <c r="AV9" s="18"/>
    </row>
    <row r="10" spans="1:49" s="2" customFormat="1" x14ac:dyDescent="0.3">
      <c r="A10" s="30"/>
      <c r="B10" s="6" t="s">
        <v>34</v>
      </c>
      <c r="C10" s="7">
        <v>42.4</v>
      </c>
      <c r="D10" s="7">
        <v>50.24</v>
      </c>
      <c r="E10" s="7">
        <v>48.9</v>
      </c>
      <c r="F10" s="7">
        <v>33.909999999999997</v>
      </c>
      <c r="G10" s="7">
        <v>114.16</v>
      </c>
      <c r="H10" s="8">
        <v>-1.9</v>
      </c>
      <c r="I10" s="7">
        <v>3.87</v>
      </c>
      <c r="J10" s="7">
        <v>4.71</v>
      </c>
      <c r="K10" s="7">
        <v>7.65</v>
      </c>
      <c r="L10" s="7">
        <v>12.57</v>
      </c>
      <c r="M10" s="7">
        <v>16.690000000000001</v>
      </c>
      <c r="N10" s="7">
        <v>12.21</v>
      </c>
      <c r="O10" s="7">
        <v>11.73</v>
      </c>
      <c r="P10" s="7">
        <v>11.32</v>
      </c>
      <c r="Q10" s="7">
        <v>10.45</v>
      </c>
      <c r="R10" s="7">
        <v>14.2</v>
      </c>
      <c r="S10" s="7">
        <v>6.45</v>
      </c>
      <c r="T10" s="7">
        <v>-2.83</v>
      </c>
      <c r="U10" s="7">
        <v>5.66</v>
      </c>
      <c r="V10" s="7">
        <v>8.66</v>
      </c>
      <c r="W10" s="7">
        <v>14.07</v>
      </c>
      <c r="X10" s="7">
        <v>16.87</v>
      </c>
      <c r="Y10" s="7">
        <v>11.84</v>
      </c>
      <c r="Z10" s="7">
        <v>13.95</v>
      </c>
      <c r="AA10" s="7">
        <v>15.29</v>
      </c>
      <c r="AB10" s="7">
        <v>10.050000000000001</v>
      </c>
      <c r="AC10" s="7">
        <v>8</v>
      </c>
      <c r="AD10" s="7">
        <v>4.45</v>
      </c>
      <c r="AE10" s="7">
        <v>3.24</v>
      </c>
      <c r="AF10" s="8">
        <v>-1.84</v>
      </c>
      <c r="AG10" s="7">
        <v>2.39</v>
      </c>
      <c r="AH10" s="7">
        <f>[5]全员劳动生产率!AH5</f>
        <v>2.89</v>
      </c>
      <c r="AI10" s="7">
        <f>[5]全员劳动生产率!AI5</f>
        <v>3.78</v>
      </c>
      <c r="AJ10" s="7">
        <f>[5]全员劳动生产率!AJ5</f>
        <v>5.47</v>
      </c>
      <c r="AK10" s="7">
        <f>[5]全员劳动生产率!AK5</f>
        <v>0.95</v>
      </c>
      <c r="AL10" s="7">
        <f>[5]全员劳动生产率!AL5</f>
        <v>0.65</v>
      </c>
      <c r="AM10" s="7">
        <f>[5]全员劳动生产率!AM5</f>
        <v>0</v>
      </c>
      <c r="AN10" s="7">
        <f>[5]全员劳动生产率!AN5</f>
        <v>0</v>
      </c>
      <c r="AO10" s="7">
        <f>[5]全员劳动生产率!AO5</f>
        <v>0</v>
      </c>
      <c r="AP10" s="7">
        <f>[5]全员劳动生产率!AP5</f>
        <v>0</v>
      </c>
      <c r="AQ10" s="7">
        <f>[5]全员劳动生产率!AQ5</f>
        <v>0</v>
      </c>
      <c r="AR10" s="7">
        <f>[5]全员劳动生产率!AR5</f>
        <v>0</v>
      </c>
      <c r="AS10" s="15">
        <v>30.32</v>
      </c>
      <c r="AT10" s="15"/>
      <c r="AU10" s="15">
        <f>'[5]主要分析指标表（底稿）'!G30/10000</f>
        <v>30.323312999999999</v>
      </c>
      <c r="AV10" s="16"/>
    </row>
    <row r="11" spans="1:49" s="2" customFormat="1" ht="15" customHeight="1" x14ac:dyDescent="0.3">
      <c r="A11" s="30"/>
      <c r="B11" s="6" t="s">
        <v>35</v>
      </c>
      <c r="C11" s="7">
        <v>0.69</v>
      </c>
      <c r="D11" s="7">
        <v>0.56000000000000005</v>
      </c>
      <c r="E11" s="7">
        <v>0.53</v>
      </c>
      <c r="F11" s="7">
        <v>0.73</v>
      </c>
      <c r="G11" s="7">
        <v>0.76</v>
      </c>
      <c r="H11" s="8">
        <v>0.78</v>
      </c>
      <c r="I11" s="7">
        <v>0.69</v>
      </c>
      <c r="J11" s="7">
        <v>0.32</v>
      </c>
      <c r="K11" s="7">
        <v>0.98</v>
      </c>
      <c r="L11" s="7">
        <v>0.75</v>
      </c>
      <c r="M11" s="7">
        <v>0.79</v>
      </c>
      <c r="N11" s="7">
        <v>0.2</v>
      </c>
      <c r="O11" s="7">
        <v>0.22</v>
      </c>
      <c r="P11" s="7">
        <v>0.35</v>
      </c>
      <c r="Q11" s="7">
        <v>0.28999999999999998</v>
      </c>
      <c r="R11" s="7">
        <v>0.41</v>
      </c>
      <c r="S11" s="7">
        <v>0.87</v>
      </c>
      <c r="T11" s="7">
        <v>7.57</v>
      </c>
      <c r="U11" s="7">
        <v>0.45</v>
      </c>
      <c r="V11" s="7">
        <v>0.49</v>
      </c>
      <c r="W11" s="7">
        <v>0.31</v>
      </c>
      <c r="X11" s="7">
        <v>0.32</v>
      </c>
      <c r="Y11" s="7">
        <v>0.78</v>
      </c>
      <c r="Z11" s="7">
        <v>0.24</v>
      </c>
      <c r="AA11" s="7">
        <v>0.66</v>
      </c>
      <c r="AB11" s="7">
        <v>0.72</v>
      </c>
      <c r="AC11" s="7">
        <v>0.73</v>
      </c>
      <c r="AD11" s="7">
        <v>1.21</v>
      </c>
      <c r="AE11" s="7">
        <v>1.65</v>
      </c>
      <c r="AF11" s="8">
        <v>2.4700000000000002</v>
      </c>
      <c r="AG11" s="7">
        <v>0.45</v>
      </c>
      <c r="AH11" s="7">
        <v>0.66</v>
      </c>
      <c r="AI11" s="7">
        <v>0.83</v>
      </c>
      <c r="AJ11" s="7">
        <v>0.78</v>
      </c>
      <c r="AK11" s="7">
        <v>0.92</v>
      </c>
      <c r="AL11" s="7">
        <v>1.82</v>
      </c>
      <c r="AM11" s="7"/>
      <c r="AN11" s="7"/>
      <c r="AO11" s="7"/>
      <c r="AP11" s="7"/>
      <c r="AQ11" s="7"/>
      <c r="AR11" s="7"/>
      <c r="AS11" s="8">
        <v>0.9</v>
      </c>
      <c r="AT11" s="15"/>
      <c r="AU11" s="15">
        <f>'[5]主要分析指标表（底稿）'!G31</f>
        <v>0.9</v>
      </c>
      <c r="AV11" s="16"/>
    </row>
    <row r="12" spans="1:49" x14ac:dyDescent="0.3">
      <c r="A12" s="30" t="s">
        <v>36</v>
      </c>
      <c r="B12" s="6" t="s">
        <v>37</v>
      </c>
      <c r="C12" s="7">
        <v>2.84</v>
      </c>
      <c r="D12" s="7">
        <v>3.02</v>
      </c>
      <c r="E12" s="7">
        <v>2.85</v>
      </c>
      <c r="F12" s="7">
        <v>3.5</v>
      </c>
      <c r="G12" s="7">
        <v>3.35</v>
      </c>
      <c r="H12" s="8">
        <v>3.34</v>
      </c>
      <c r="I12" s="7">
        <v>3.53</v>
      </c>
      <c r="J12" s="7">
        <v>3.44</v>
      </c>
      <c r="K12" s="7">
        <v>3.6</v>
      </c>
      <c r="L12" s="7">
        <v>3.42</v>
      </c>
      <c r="M12" s="7">
        <v>3.34</v>
      </c>
      <c r="N12" s="7">
        <v>3.27</v>
      </c>
      <c r="O12" s="7">
        <v>3.45</v>
      </c>
      <c r="P12" s="7">
        <v>3.36</v>
      </c>
      <c r="Q12" s="7">
        <v>3.33</v>
      </c>
      <c r="R12" s="7">
        <v>3.19</v>
      </c>
      <c r="S12" s="7">
        <v>3.28</v>
      </c>
      <c r="T12" s="7">
        <v>2.87</v>
      </c>
      <c r="U12" s="7">
        <v>4.3899999999999997</v>
      </c>
      <c r="V12" s="7">
        <v>3.2</v>
      </c>
      <c r="W12" s="7">
        <v>3.15</v>
      </c>
      <c r="X12" s="7">
        <v>3.27</v>
      </c>
      <c r="Y12" s="7">
        <v>4.09</v>
      </c>
      <c r="Z12" s="7">
        <v>3.44</v>
      </c>
      <c r="AA12" s="7">
        <v>3.26</v>
      </c>
      <c r="AB12" s="7">
        <v>3.31</v>
      </c>
      <c r="AC12" s="7">
        <v>3.2</v>
      </c>
      <c r="AD12" s="7">
        <v>3.15</v>
      </c>
      <c r="AE12" s="7">
        <v>3.16</v>
      </c>
      <c r="AF12" s="8">
        <v>3.13</v>
      </c>
      <c r="AG12" s="7">
        <v>5.09</v>
      </c>
      <c r="AH12" s="7">
        <v>4.01</v>
      </c>
      <c r="AI12" s="7">
        <v>4.05</v>
      </c>
      <c r="AJ12" s="7">
        <v>4.01</v>
      </c>
      <c r="AK12" s="7">
        <v>3.83</v>
      </c>
      <c r="AL12" s="7">
        <v>3.79</v>
      </c>
      <c r="AM12" s="7"/>
      <c r="AN12" s="7"/>
      <c r="AO12" s="7"/>
      <c r="AP12" s="7"/>
      <c r="AQ12" s="7"/>
      <c r="AR12" s="7"/>
      <c r="AS12" s="8">
        <v>4.08</v>
      </c>
      <c r="AT12" s="19"/>
      <c r="AU12" s="20"/>
      <c r="AW12" t="s">
        <v>38</v>
      </c>
    </row>
    <row r="13" spans="1:49" x14ac:dyDescent="0.3">
      <c r="A13" s="30"/>
      <c r="B13" s="9" t="s">
        <v>39</v>
      </c>
      <c r="C13" s="7">
        <v>2.1</v>
      </c>
      <c r="D13" s="7">
        <v>3.12</v>
      </c>
      <c r="E13" s="7">
        <v>2.2599999999999998</v>
      </c>
      <c r="F13" s="7">
        <v>2.46</v>
      </c>
      <c r="G13" s="7">
        <v>4.5999999999999996</v>
      </c>
      <c r="H13" s="8">
        <v>3.55</v>
      </c>
      <c r="I13" s="7">
        <v>0.21</v>
      </c>
      <c r="J13" s="7">
        <v>0.11</v>
      </c>
      <c r="K13" s="7">
        <v>0.26</v>
      </c>
      <c r="L13" s="7">
        <v>0.47</v>
      </c>
      <c r="M13" s="7">
        <v>0.18</v>
      </c>
      <c r="N13" s="7">
        <v>7.0000000000000007E-2</v>
      </c>
      <c r="O13" s="7">
        <v>7.0000000000000007E-2</v>
      </c>
      <c r="P13" s="7">
        <v>0.25</v>
      </c>
      <c r="Q13" s="7">
        <v>0.22</v>
      </c>
      <c r="R13" s="7">
        <v>0.28999999999999998</v>
      </c>
      <c r="S13" s="7">
        <v>0.91</v>
      </c>
      <c r="T13" s="7">
        <v>-1.22</v>
      </c>
      <c r="U13" s="7">
        <v>0.2</v>
      </c>
      <c r="V13" s="7">
        <v>0.53</v>
      </c>
      <c r="W13" s="7">
        <v>0</v>
      </c>
      <c r="X13" s="7">
        <v>0.03</v>
      </c>
      <c r="Y13" s="7">
        <v>0.08</v>
      </c>
      <c r="Z13" s="7">
        <v>0.11</v>
      </c>
      <c r="AA13" s="7">
        <v>0.11</v>
      </c>
      <c r="AB13" s="7">
        <v>0.12</v>
      </c>
      <c r="AC13" s="7">
        <v>0.2</v>
      </c>
      <c r="AD13" s="7">
        <v>0.67</v>
      </c>
      <c r="AE13" s="7">
        <v>1.02</v>
      </c>
      <c r="AF13" s="7">
        <v>0.47</v>
      </c>
      <c r="AG13" s="7">
        <f>'[5]资产负债、利润（底稿）'!J78/'[5]资产负债、利润（底稿）'!L33*100</f>
        <v>0.66479075864207227</v>
      </c>
      <c r="AH13" s="7">
        <v>0.1</v>
      </c>
      <c r="AI13" s="7">
        <v>0.16</v>
      </c>
      <c r="AJ13" s="7">
        <v>0.17</v>
      </c>
      <c r="AK13" s="7">
        <v>0.19</v>
      </c>
      <c r="AL13" s="7">
        <v>0.24</v>
      </c>
      <c r="AM13" s="7"/>
      <c r="AN13" s="7"/>
      <c r="AO13" s="7"/>
      <c r="AP13" s="7"/>
      <c r="AQ13" s="7"/>
      <c r="AR13" s="7"/>
      <c r="AS13" s="7">
        <v>0.9</v>
      </c>
      <c r="AT13" s="7">
        <f>'[5]资产负债、利润（底稿）'!K78/'[5]资产负债、利润（底稿）'!C33*100</f>
        <v>0.23766645722955076</v>
      </c>
      <c r="AU13" s="7">
        <f>'[5]资产负债、利润（底稿）'!I78/'[5]资产负债、利润（底稿）'!C33*100</f>
        <v>0.89961913270069549</v>
      </c>
    </row>
    <row r="14" spans="1:49" x14ac:dyDescent="0.3">
      <c r="A14" s="30" t="s">
        <v>40</v>
      </c>
      <c r="B14" s="9" t="s">
        <v>41</v>
      </c>
      <c r="C14" s="7">
        <v>10.06</v>
      </c>
      <c r="D14" s="7">
        <v>22.22</v>
      </c>
      <c r="E14" s="7">
        <v>14.97</v>
      </c>
      <c r="F14" s="7">
        <v>2.0099999999999998</v>
      </c>
      <c r="G14" s="7">
        <v>60.76</v>
      </c>
      <c r="H14" s="8">
        <v>82.38</v>
      </c>
      <c r="I14" s="7">
        <v>-5.2</v>
      </c>
      <c r="J14" s="7">
        <v>2</v>
      </c>
      <c r="K14" s="7">
        <v>-1.52</v>
      </c>
      <c r="L14" s="7">
        <v>6.93</v>
      </c>
      <c r="M14" s="7">
        <v>6.99</v>
      </c>
      <c r="N14" s="7">
        <v>6.1</v>
      </c>
      <c r="O14" s="7">
        <v>11.52</v>
      </c>
      <c r="P14" s="7">
        <v>3.42</v>
      </c>
      <c r="Q14" s="7">
        <v>8.43</v>
      </c>
      <c r="R14" s="7">
        <v>11.62</v>
      </c>
      <c r="S14" s="7">
        <v>12.87</v>
      </c>
      <c r="T14" s="7">
        <v>-17.39</v>
      </c>
      <c r="U14" s="7">
        <v>2.1800000000000002</v>
      </c>
      <c r="V14" s="7">
        <v>6.44</v>
      </c>
      <c r="W14" s="7">
        <v>15.69</v>
      </c>
      <c r="X14" s="7">
        <v>12.12</v>
      </c>
      <c r="Y14" s="7">
        <v>5.34</v>
      </c>
      <c r="Z14" s="7">
        <v>16.89</v>
      </c>
      <c r="AA14" s="7">
        <v>5.89</v>
      </c>
      <c r="AB14" s="7">
        <v>0.49</v>
      </c>
      <c r="AC14" s="7">
        <v>7</v>
      </c>
      <c r="AD14" s="7">
        <v>1.07</v>
      </c>
      <c r="AE14" s="7">
        <v>2.84</v>
      </c>
      <c r="AF14" s="8">
        <v>-14.56</v>
      </c>
      <c r="AG14" s="7">
        <f>[5]基础财务数据!AN50/[5]基础财务数据!AN57*100</f>
        <v>-5.3282608301915007</v>
      </c>
      <c r="AH14" s="7">
        <f>[5]基础财务数据!AO50/[5]基础财务数据!AO57*100</f>
        <v>2.016181094791067</v>
      </c>
      <c r="AI14" s="7">
        <f>[5]基础财务数据!AP50/[5]基础财务数据!AP57*100</f>
        <v>8.5043601301472205E-2</v>
      </c>
      <c r="AJ14" s="7">
        <f>[5]基础财务数据!AQ50/[5]基础财务数据!AQ57*100</f>
        <v>2.794144636126803</v>
      </c>
      <c r="AK14" s="7">
        <f>[5]基础财务数据!AR50/[5]基础财务数据!AR57*100</f>
        <v>2.4765979377438456</v>
      </c>
      <c r="AL14" s="7">
        <f>[5]基础财务数据!AS50/[5]基础财务数据!AS57*100</f>
        <v>-12.364468429573664</v>
      </c>
      <c r="AM14" s="7" t="e">
        <f>[5]基础财务数据!AT50/[5]基础财务数据!AT57*100</f>
        <v>#DIV/0!</v>
      </c>
      <c r="AN14" s="7" t="e">
        <f>[5]基础财务数据!AU50/[5]基础财务数据!AU57*100</f>
        <v>#DIV/0!</v>
      </c>
      <c r="AO14" s="7" t="e">
        <f>[5]基础财务数据!AV50/[5]基础财务数据!AV57*100</f>
        <v>#DIV/0!</v>
      </c>
      <c r="AP14" s="7" t="e">
        <f>[5]基础财务数据!AW50/[5]基础财务数据!AW57*100</f>
        <v>#DIV/0!</v>
      </c>
      <c r="AQ14" s="7" t="e">
        <f>[5]基础财务数据!AX50/[5]基础财务数据!AX57*100</f>
        <v>#DIV/0!</v>
      </c>
      <c r="AR14" s="7" t="e">
        <f>[5]基础财务数据!AY50/[5]基础财务数据!AY57*100</f>
        <v>#DIV/0!</v>
      </c>
      <c r="AS14" s="8">
        <v>5.53</v>
      </c>
      <c r="AT14" s="19"/>
      <c r="AU14" s="19">
        <f>'[5]主要分析指标表（底稿）'!G18</f>
        <v>5.53</v>
      </c>
    </row>
    <row r="15" spans="1:49" x14ac:dyDescent="0.3">
      <c r="A15" s="30"/>
      <c r="B15" s="9" t="s">
        <v>42</v>
      </c>
      <c r="C15" s="7">
        <v>0.02</v>
      </c>
      <c r="D15" s="7">
        <v>0.06</v>
      </c>
      <c r="E15" s="7">
        <v>0.09</v>
      </c>
      <c r="F15" s="7">
        <v>0.13</v>
      </c>
      <c r="G15" s="7">
        <v>7.0000000000000007E-2</v>
      </c>
      <c r="H15" s="8">
        <v>0.32</v>
      </c>
      <c r="I15" s="7">
        <v>0.1</v>
      </c>
      <c r="J15" s="7">
        <v>0.1</v>
      </c>
      <c r="K15" s="7">
        <v>0.1</v>
      </c>
      <c r="L15" s="7">
        <v>0.13</v>
      </c>
      <c r="M15" s="7">
        <v>0.16</v>
      </c>
      <c r="N15" s="7">
        <v>0.13</v>
      </c>
      <c r="O15" s="7">
        <v>0.15</v>
      </c>
      <c r="P15" s="7">
        <v>15.58</v>
      </c>
      <c r="Q15" s="7">
        <v>16.63</v>
      </c>
      <c r="R15" s="7">
        <v>20.72</v>
      </c>
      <c r="S15" s="7">
        <v>29.17</v>
      </c>
      <c r="T15" s="7">
        <v>7.25</v>
      </c>
      <c r="U15" s="7">
        <v>0.1</v>
      </c>
      <c r="V15" s="7">
        <v>0.13</v>
      </c>
      <c r="W15" s="7">
        <v>0.2</v>
      </c>
      <c r="X15" s="7">
        <v>0.19</v>
      </c>
      <c r="Y15" s="7">
        <v>0.23</v>
      </c>
      <c r="Z15" s="7">
        <v>0.4</v>
      </c>
      <c r="AA15" s="7">
        <v>0.45</v>
      </c>
      <c r="AB15" s="7">
        <v>0.47</v>
      </c>
      <c r="AC15" s="7">
        <v>0.54</v>
      </c>
      <c r="AD15" s="7">
        <v>0.46</v>
      </c>
      <c r="AE15" s="7">
        <v>0.48</v>
      </c>
      <c r="AF15" s="8">
        <v>0.32</v>
      </c>
      <c r="AG15" s="7">
        <f>([5]基础财务数据!AN58-[5]基础财务数据!AN9)/[5]基础财务数据!AN57</f>
        <v>0.25154104596861027</v>
      </c>
      <c r="AH15" s="7">
        <f>([5]基础财务数据!AO58-[5]基础财务数据!AO9)/[5]基础财务数据!AO57</f>
        <v>0.25067814946860922</v>
      </c>
      <c r="AI15" s="7">
        <f>([5]基础财务数据!AP58-[5]基础财务数据!AP9)/[5]基础财务数据!AP57</f>
        <v>0.24813859675424924</v>
      </c>
      <c r="AJ15" s="7">
        <f>([5]基础财务数据!AQ58-[5]基础财务数据!AQ9)/[5]基础财务数据!AQ57</f>
        <v>0.14065759259093469</v>
      </c>
      <c r="AK15" s="7">
        <f>([5]基础财务数据!AR58-[5]基础财务数据!AR9)/[5]基础财务数据!AR57</f>
        <v>0.13217640150156493</v>
      </c>
      <c r="AL15" s="7">
        <f>([5]基础财务数据!AS58-[5]基础财务数据!AS9)/[5]基础财务数据!AS57</f>
        <v>9.9049595250944408E-2</v>
      </c>
      <c r="AM15" s="7" t="e">
        <f>([5]基础财务数据!AT58-[5]基础财务数据!AT9)/[5]基础财务数据!AT57</f>
        <v>#DIV/0!</v>
      </c>
      <c r="AN15" s="7" t="e">
        <f>([5]基础财务数据!AU58-[5]基础财务数据!AU9)/[5]基础财务数据!AU57</f>
        <v>#DIV/0!</v>
      </c>
      <c r="AO15" s="7" t="e">
        <f>([5]基础财务数据!AV58-[5]基础财务数据!AV9)/[5]基础财务数据!AV57</f>
        <v>#DIV/0!</v>
      </c>
      <c r="AP15" s="7" t="e">
        <f>([5]基础财务数据!AW58-[5]基础财务数据!AW9)/[5]基础财务数据!AW57</f>
        <v>#DIV/0!</v>
      </c>
      <c r="AQ15" s="7" t="e">
        <f>([5]基础财务数据!AX58-[5]基础财务数据!AX9)/[5]基础财务数据!AX57</f>
        <v>#DIV/0!</v>
      </c>
      <c r="AR15" s="7" t="e">
        <f>([5]基础财务数据!AY58-[5]基础财务数据!AY9)/[5]基础财务数据!AY57</f>
        <v>#DIV/0!</v>
      </c>
      <c r="AS15" s="8">
        <v>0.1</v>
      </c>
      <c r="AT15" s="19">
        <f>('[5]资产负债、利润（底稿）'!C22-'[5]资产负债、利润（底稿）'!C17)/'[5]资产负债、利润（底稿）'!G23</f>
        <v>9.9049593620978413E-2</v>
      </c>
      <c r="AU15" s="19">
        <f>AT15</f>
        <v>9.9049593620978413E-2</v>
      </c>
    </row>
    <row r="16" spans="1:49" x14ac:dyDescent="0.3">
      <c r="A16" s="30" t="s">
        <v>43</v>
      </c>
      <c r="B16" s="10" t="s">
        <v>44</v>
      </c>
      <c r="C16" s="7">
        <v>0.84</v>
      </c>
      <c r="D16" s="7">
        <v>0.91</v>
      </c>
      <c r="E16" s="7">
        <v>0.92</v>
      </c>
      <c r="F16" s="7">
        <v>0.78</v>
      </c>
      <c r="G16" s="7">
        <v>1.26</v>
      </c>
      <c r="H16" s="8">
        <v>1.51</v>
      </c>
      <c r="I16" s="7">
        <v>0.06</v>
      </c>
      <c r="J16" s="7">
        <v>7.0000000000000007E-2</v>
      </c>
      <c r="K16" s="7">
        <v>0.09</v>
      </c>
      <c r="L16" s="7">
        <v>0.12</v>
      </c>
      <c r="M16" s="7">
        <v>0.12</v>
      </c>
      <c r="N16" s="7">
        <v>0.11</v>
      </c>
      <c r="O16" s="7">
        <v>0.11</v>
      </c>
      <c r="P16" s="7">
        <v>0.12</v>
      </c>
      <c r="Q16" s="7">
        <v>0.12</v>
      </c>
      <c r="R16" s="7">
        <v>0.14000000000000001</v>
      </c>
      <c r="S16" s="7">
        <v>0.12</v>
      </c>
      <c r="T16" s="7">
        <v>0.04</v>
      </c>
      <c r="U16" s="7">
        <v>0.1</v>
      </c>
      <c r="V16" s="7">
        <v>0.12</v>
      </c>
      <c r="W16" s="7">
        <v>0.15</v>
      </c>
      <c r="X16" s="7">
        <v>0.14000000000000001</v>
      </c>
      <c r="Y16" s="7">
        <v>0.11</v>
      </c>
      <c r="Z16" s="7">
        <v>0.13</v>
      </c>
      <c r="AA16" s="7">
        <v>0.14000000000000001</v>
      </c>
      <c r="AB16" s="7">
        <v>0.11</v>
      </c>
      <c r="AC16" s="7">
        <v>0.11</v>
      </c>
      <c r="AD16" s="7">
        <v>0.1</v>
      </c>
      <c r="AE16" s="7">
        <v>0.1</v>
      </c>
      <c r="AF16" s="8">
        <v>0.09</v>
      </c>
      <c r="AG16" s="7">
        <v>0.1</v>
      </c>
      <c r="AH16" s="7">
        <v>0.11</v>
      </c>
      <c r="AI16" s="7">
        <v>0.11</v>
      </c>
      <c r="AJ16" s="8">
        <v>0.11</v>
      </c>
      <c r="AK16" s="8">
        <v>0.11</v>
      </c>
      <c r="AL16" s="8">
        <v>0.11</v>
      </c>
      <c r="AM16" s="7"/>
      <c r="AN16" s="7"/>
      <c r="AO16" s="7"/>
      <c r="AP16" s="7"/>
      <c r="AQ16" s="7"/>
      <c r="AR16" s="7"/>
      <c r="AS16" s="8">
        <v>1.26</v>
      </c>
      <c r="AT16" s="19">
        <f>[5]基础财务数据!AO20/([5]基础财务数据!AN5+[5]基础财务数据!AO5)*2</f>
        <v>0.10867675659479156</v>
      </c>
      <c r="AU16" s="19">
        <f>'[5]主要分析指标表（底稿）'!G6</f>
        <v>1.26</v>
      </c>
    </row>
    <row r="17" spans="1:48" x14ac:dyDescent="0.3">
      <c r="A17" s="30"/>
      <c r="B17" s="9" t="s">
        <v>45</v>
      </c>
      <c r="C17" s="7">
        <v>58.84</v>
      </c>
      <c r="D17" s="7">
        <v>148</v>
      </c>
      <c r="E17" s="7">
        <v>95.93</v>
      </c>
      <c r="F17" s="7">
        <v>70.959999999999994</v>
      </c>
      <c r="G17" s="7">
        <v>202.69</v>
      </c>
      <c r="H17" s="8">
        <v>179.58</v>
      </c>
      <c r="I17" s="7">
        <v>4.46</v>
      </c>
      <c r="J17" s="7">
        <v>3.47</v>
      </c>
      <c r="K17" s="7">
        <v>3.25</v>
      </c>
      <c r="L17" s="7">
        <v>3.93</v>
      </c>
      <c r="M17" s="7">
        <v>4.54</v>
      </c>
      <c r="N17" s="7">
        <v>5.15</v>
      </c>
      <c r="O17" s="7">
        <v>7.3</v>
      </c>
      <c r="P17" s="7">
        <v>7.97</v>
      </c>
      <c r="Q17" s="7">
        <v>6.56</v>
      </c>
      <c r="R17" s="7">
        <v>5.28</v>
      </c>
      <c r="S17" s="7">
        <v>5.17</v>
      </c>
      <c r="T17" s="7">
        <v>4.99</v>
      </c>
      <c r="U17" s="7">
        <v>14.37</v>
      </c>
      <c r="V17" s="7">
        <v>10.45</v>
      </c>
      <c r="W17" s="7">
        <v>10.83</v>
      </c>
      <c r="X17" s="7">
        <v>11.64</v>
      </c>
      <c r="Y17" s="7">
        <v>10.02</v>
      </c>
      <c r="Z17" s="7">
        <v>13.26</v>
      </c>
      <c r="AA17" s="7">
        <v>12.25</v>
      </c>
      <c r="AB17" s="7">
        <v>11.51</v>
      </c>
      <c r="AC17" s="7">
        <v>9.5500000000000007</v>
      </c>
      <c r="AD17" s="7">
        <v>11.38</v>
      </c>
      <c r="AE17" s="7">
        <v>9.85</v>
      </c>
      <c r="AF17" s="8">
        <v>12.56</v>
      </c>
      <c r="AG17" s="7">
        <v>181.19</v>
      </c>
      <c r="AH17" s="7">
        <v>5.04</v>
      </c>
      <c r="AI17" s="7">
        <v>5.04</v>
      </c>
      <c r="AJ17" s="8">
        <v>5.04</v>
      </c>
      <c r="AK17" s="8">
        <v>5.04</v>
      </c>
      <c r="AL17" s="8">
        <v>5.04</v>
      </c>
      <c r="AM17" s="7"/>
      <c r="AN17" s="7"/>
      <c r="AO17" s="7"/>
      <c r="AP17" s="7"/>
      <c r="AQ17" s="7"/>
      <c r="AR17" s="7"/>
      <c r="AS17" s="7">
        <v>91.69</v>
      </c>
      <c r="AT17" s="19">
        <f>[5]基础财务数据!AO21/([5]基础财务数据!AO7+[5]基础财务数据!AN7)*2</f>
        <v>5.0368481392513997</v>
      </c>
      <c r="AU17" s="7">
        <f>'[5]主要分析指标表（底稿）'!G9</f>
        <v>91.69</v>
      </c>
    </row>
    <row r="18" spans="1:48" x14ac:dyDescent="0.3">
      <c r="A18" s="30"/>
      <c r="B18" s="9" t="s">
        <v>46</v>
      </c>
      <c r="C18" s="7">
        <v>12.95</v>
      </c>
      <c r="D18" s="7">
        <v>10.84</v>
      </c>
      <c r="E18" s="7">
        <v>10.78</v>
      </c>
      <c r="F18" s="7">
        <v>10.46</v>
      </c>
      <c r="G18" s="7">
        <v>13.7</v>
      </c>
      <c r="H18" s="8">
        <v>17.149999999999999</v>
      </c>
      <c r="I18" s="7">
        <v>0.85</v>
      </c>
      <c r="J18" s="7">
        <v>0.89</v>
      </c>
      <c r="K18" s="7">
        <v>1.1399999999999999</v>
      </c>
      <c r="L18" s="7">
        <v>1.56</v>
      </c>
      <c r="M18" s="7">
        <v>1.43</v>
      </c>
      <c r="N18" s="7">
        <v>1.34</v>
      </c>
      <c r="O18" s="7">
        <v>1.29</v>
      </c>
      <c r="P18" s="7">
        <v>1.41</v>
      </c>
      <c r="Q18" s="7">
        <v>1.49</v>
      </c>
      <c r="R18" s="7">
        <v>1.54</v>
      </c>
      <c r="S18" s="7">
        <v>1.44</v>
      </c>
      <c r="T18" s="7">
        <v>1.37</v>
      </c>
      <c r="U18" s="7">
        <v>1.23</v>
      </c>
      <c r="V18" s="7">
        <v>1.45</v>
      </c>
      <c r="W18" s="7">
        <v>1.59</v>
      </c>
      <c r="X18" s="7">
        <v>1.34</v>
      </c>
      <c r="Y18" s="7">
        <v>1.0900000000000001</v>
      </c>
      <c r="Z18" s="7">
        <v>1.37</v>
      </c>
      <c r="AA18" s="7">
        <v>1.28</v>
      </c>
      <c r="AB18" s="7">
        <v>1.1599999999999999</v>
      </c>
      <c r="AC18" s="7">
        <v>1.2</v>
      </c>
      <c r="AD18" s="7">
        <v>1.1499999999999999</v>
      </c>
      <c r="AE18" s="7">
        <v>1.24</v>
      </c>
      <c r="AF18" s="8">
        <v>1.45</v>
      </c>
      <c r="AG18" s="7">
        <v>15.99</v>
      </c>
      <c r="AH18" s="7">
        <v>1.27</v>
      </c>
      <c r="AI18" s="7">
        <v>1.27</v>
      </c>
      <c r="AJ18" s="8">
        <v>1.27</v>
      </c>
      <c r="AK18" s="8">
        <v>1.27</v>
      </c>
      <c r="AL18" s="8">
        <v>1.27</v>
      </c>
      <c r="AM18" s="7"/>
      <c r="AN18" s="7"/>
      <c r="AO18" s="7"/>
      <c r="AP18" s="7"/>
      <c r="AQ18" s="7"/>
      <c r="AR18" s="7"/>
      <c r="AS18" s="8">
        <v>16.34</v>
      </c>
      <c r="AT18" s="19">
        <f>[5]基础财务数据!AO24/([5]基础财务数据!AN9+[5]基础财务数据!AO9)*2</f>
        <v>1.2682314020391217</v>
      </c>
      <c r="AU18" s="19">
        <f>'[5]主要分析指标表（底稿）'!G8</f>
        <v>16.34</v>
      </c>
    </row>
    <row r="19" spans="1:48" x14ac:dyDescent="0.3">
      <c r="A19" s="30" t="s">
        <v>47</v>
      </c>
      <c r="B19" s="9" t="s">
        <v>48</v>
      </c>
      <c r="C19" s="7">
        <v>14.06</v>
      </c>
      <c r="D19" s="7">
        <v>17.63</v>
      </c>
      <c r="E19" s="7">
        <v>13.29</v>
      </c>
      <c r="F19" s="7">
        <v>6.38</v>
      </c>
      <c r="G19" s="7">
        <v>16.940000000000001</v>
      </c>
      <c r="H19" s="8">
        <v>17.37</v>
      </c>
      <c r="I19" s="7">
        <v>8.41</v>
      </c>
      <c r="J19" s="7">
        <v>9.25</v>
      </c>
      <c r="K19" s="7">
        <v>10.69</v>
      </c>
      <c r="L19" s="7">
        <v>17.63</v>
      </c>
      <c r="M19" s="7">
        <v>23.59</v>
      </c>
      <c r="N19" s="7">
        <v>22.59</v>
      </c>
      <c r="O19" s="7">
        <v>20.64</v>
      </c>
      <c r="P19" s="7">
        <v>19.149999999999999</v>
      </c>
      <c r="Q19" s="7">
        <v>25.09</v>
      </c>
      <c r="R19" s="7">
        <v>32.340000000000003</v>
      </c>
      <c r="S19" s="7">
        <v>14.32</v>
      </c>
      <c r="T19" s="7">
        <v>-162.33000000000001</v>
      </c>
      <c r="U19" s="7">
        <v>8.01</v>
      </c>
      <c r="V19" s="7">
        <v>5.23</v>
      </c>
      <c r="W19" s="7">
        <v>22.37</v>
      </c>
      <c r="X19" s="7">
        <v>33.65</v>
      </c>
      <c r="Y19" s="7">
        <v>23.01</v>
      </c>
      <c r="Z19" s="7">
        <v>25.37</v>
      </c>
      <c r="AA19" s="7">
        <v>29.74</v>
      </c>
      <c r="AB19" s="7">
        <v>21.52</v>
      </c>
      <c r="AC19" s="7">
        <v>16.489999999999998</v>
      </c>
      <c r="AD19" s="7">
        <v>7.21</v>
      </c>
      <c r="AE19" s="7">
        <v>5.57</v>
      </c>
      <c r="AF19" s="8">
        <v>-11.89</v>
      </c>
      <c r="AG19" s="7">
        <v>1.37</v>
      </c>
      <c r="AH19" s="7">
        <v>5.58</v>
      </c>
      <c r="AI19" s="7">
        <v>5.58</v>
      </c>
      <c r="AJ19" s="8">
        <v>5.58</v>
      </c>
      <c r="AK19" s="8">
        <v>5.58</v>
      </c>
      <c r="AL19" s="8">
        <v>5.58</v>
      </c>
      <c r="AM19" s="7"/>
      <c r="AN19" s="7"/>
      <c r="AO19" s="7"/>
      <c r="AP19" s="7"/>
      <c r="AQ19" s="7"/>
      <c r="AR19" s="7"/>
      <c r="AS19" s="8">
        <v>-6.32</v>
      </c>
      <c r="AT19" s="19">
        <f>([5]基础财务数据!AO21-[5]基础财务数据!AO24-[5]基础财务数据!AO31)/[5]基础财务数据!AO21*100</f>
        <v>5.5753991241669718</v>
      </c>
      <c r="AU19" s="19">
        <f>'[5]主要分析指标表（底稿）'!C32</f>
        <v>-6.32</v>
      </c>
    </row>
    <row r="20" spans="1:48" x14ac:dyDescent="0.3">
      <c r="A20" s="30"/>
      <c r="B20" s="9" t="s">
        <v>49</v>
      </c>
      <c r="C20" s="7">
        <v>1.1200000000000001</v>
      </c>
      <c r="D20" s="7">
        <v>1.81</v>
      </c>
      <c r="E20" s="7">
        <v>1.9</v>
      </c>
      <c r="F20" s="7">
        <v>-4.91</v>
      </c>
      <c r="G20" s="7">
        <v>17.649999999999999</v>
      </c>
      <c r="H20" s="8">
        <v>14.43</v>
      </c>
      <c r="I20" s="7">
        <v>0.31</v>
      </c>
      <c r="J20" s="7">
        <v>3.32</v>
      </c>
      <c r="K20" s="7">
        <v>12.4</v>
      </c>
      <c r="L20" s="7">
        <v>17.79</v>
      </c>
      <c r="M20" s="7">
        <v>22.37</v>
      </c>
      <c r="N20" s="7">
        <v>25.9</v>
      </c>
      <c r="O20" s="7">
        <v>21.41</v>
      </c>
      <c r="P20" s="7">
        <v>17.95</v>
      </c>
      <c r="Q20" s="7">
        <v>25.47</v>
      </c>
      <c r="R20" s="7">
        <v>31.3</v>
      </c>
      <c r="S20" s="7">
        <v>27.11</v>
      </c>
      <c r="T20" s="7">
        <v>-28.89</v>
      </c>
      <c r="U20" s="7">
        <v>1.31</v>
      </c>
      <c r="V20" s="7">
        <v>8.17</v>
      </c>
      <c r="W20" s="7">
        <v>22.83</v>
      </c>
      <c r="X20" s="7">
        <v>40.22</v>
      </c>
      <c r="Y20" s="7">
        <v>26.29</v>
      </c>
      <c r="Z20" s="7">
        <v>28.91</v>
      </c>
      <c r="AA20" s="7">
        <v>31.63</v>
      </c>
      <c r="AB20" s="7">
        <v>16.98</v>
      </c>
      <c r="AC20" s="7">
        <v>10.01</v>
      </c>
      <c r="AD20" s="7">
        <v>3.96</v>
      </c>
      <c r="AE20" s="7">
        <v>0.35</v>
      </c>
      <c r="AF20" s="8">
        <v>-15.75</v>
      </c>
      <c r="AG20" s="7">
        <v>8.01</v>
      </c>
      <c r="AH20" s="7">
        <v>2.13</v>
      </c>
      <c r="AI20" s="7">
        <v>2.13</v>
      </c>
      <c r="AJ20" s="8">
        <v>2.13</v>
      </c>
      <c r="AK20" s="8">
        <v>2.13</v>
      </c>
      <c r="AL20" s="8">
        <v>2.13</v>
      </c>
      <c r="AM20" s="7"/>
      <c r="AN20" s="7"/>
      <c r="AO20" s="7"/>
      <c r="AP20" s="7"/>
      <c r="AQ20" s="7"/>
      <c r="AR20" s="7"/>
      <c r="AS20" s="8">
        <v>-1.01</v>
      </c>
      <c r="AT20" s="19">
        <f>[5]基础财务数据!AO46/([5]基础财务数据!AO23+[5]基础财务数据!AO31+[5]基础财务数据!AO32)*100</f>
        <v>2.1280293989002006</v>
      </c>
      <c r="AU20" s="19">
        <f>'[5]主要分析指标表（底稿）'!C33</f>
        <v>-1.01</v>
      </c>
    </row>
    <row r="21" spans="1:48" x14ac:dyDescent="0.3">
      <c r="A21" s="30"/>
      <c r="B21" s="9" t="s">
        <v>50</v>
      </c>
      <c r="C21" s="7">
        <v>2.65</v>
      </c>
      <c r="D21" s="7">
        <v>3.04</v>
      </c>
      <c r="E21" s="7">
        <v>3.05</v>
      </c>
      <c r="F21" s="7">
        <v>-4.21</v>
      </c>
      <c r="G21" s="7">
        <v>20.96</v>
      </c>
      <c r="H21" s="8">
        <v>19.239999999999998</v>
      </c>
      <c r="I21" s="7">
        <v>0.1</v>
      </c>
      <c r="J21" s="7">
        <v>0.25</v>
      </c>
      <c r="K21" s="7">
        <v>1.1299999999999999</v>
      </c>
      <c r="L21" s="7">
        <v>2.06</v>
      </c>
      <c r="M21" s="7">
        <v>2.5</v>
      </c>
      <c r="N21" s="7">
        <v>2.67</v>
      </c>
      <c r="O21" s="7">
        <v>2.2400000000000002</v>
      </c>
      <c r="P21" s="7">
        <v>2.04</v>
      </c>
      <c r="Q21" s="7">
        <v>2.79</v>
      </c>
      <c r="R21" s="7">
        <v>3.68</v>
      </c>
      <c r="S21" s="7">
        <v>2.77</v>
      </c>
      <c r="T21" s="7">
        <v>-1.61</v>
      </c>
      <c r="U21" s="7">
        <v>0.14000000000000001</v>
      </c>
      <c r="V21" s="7">
        <v>0.97</v>
      </c>
      <c r="W21" s="7">
        <v>2.99</v>
      </c>
      <c r="X21" s="7">
        <v>4.2300000000000004</v>
      </c>
      <c r="Y21" s="7">
        <v>2.33</v>
      </c>
      <c r="Z21" s="7">
        <v>3.16</v>
      </c>
      <c r="AA21" s="7">
        <v>3.5</v>
      </c>
      <c r="AB21" s="7">
        <v>1.75</v>
      </c>
      <c r="AC21" s="7">
        <v>1.03</v>
      </c>
      <c r="AD21" s="7">
        <v>0.4</v>
      </c>
      <c r="AE21" s="7">
        <v>0.04</v>
      </c>
      <c r="AF21" s="8">
        <v>-1.8</v>
      </c>
      <c r="AG21" s="7">
        <v>2.76</v>
      </c>
      <c r="AH21" s="7">
        <v>0.23</v>
      </c>
      <c r="AI21" s="7">
        <v>0.23</v>
      </c>
      <c r="AJ21" s="8">
        <v>0.23</v>
      </c>
      <c r="AK21" s="8">
        <v>0.23</v>
      </c>
      <c r="AL21" s="8">
        <v>0.23</v>
      </c>
      <c r="AM21" s="7"/>
      <c r="AN21" s="7"/>
      <c r="AO21" s="7"/>
      <c r="AP21" s="7"/>
      <c r="AQ21" s="7"/>
      <c r="AR21" s="7"/>
      <c r="AS21" s="8">
        <v>-11.13</v>
      </c>
      <c r="AT21" s="19">
        <f>([5]基础财务数据!AO46+[5]基础财务数据!AO59)/([5]基础财务数据!AO5+[5]基础财务数据!AM5)*2*100</f>
        <v>0.22536514960749959</v>
      </c>
      <c r="AU21" s="19">
        <f>'[5]主要分析指标表（底稿）'!C30</f>
        <v>-11.13</v>
      </c>
    </row>
    <row r="22" spans="1:48" x14ac:dyDescent="0.3">
      <c r="A22" s="30"/>
      <c r="B22" s="9" t="s">
        <v>51</v>
      </c>
      <c r="C22" s="7">
        <v>3.33</v>
      </c>
      <c r="D22" s="7">
        <v>4.0599999999999996</v>
      </c>
      <c r="E22" s="7">
        <v>3.97</v>
      </c>
      <c r="F22" s="7">
        <v>-5.51</v>
      </c>
      <c r="G22" s="7">
        <v>27.4</v>
      </c>
      <c r="H22" s="8">
        <v>28.25</v>
      </c>
      <c r="I22" s="7">
        <v>0.13</v>
      </c>
      <c r="J22" s="7">
        <v>0.32</v>
      </c>
      <c r="K22" s="7">
        <v>1.39</v>
      </c>
      <c r="L22" s="7">
        <v>2.59</v>
      </c>
      <c r="M22" s="7">
        <v>3.27</v>
      </c>
      <c r="N22" s="7">
        <v>3.53</v>
      </c>
      <c r="O22" s="7">
        <v>3.14</v>
      </c>
      <c r="P22" s="7">
        <v>2.8</v>
      </c>
      <c r="Q22" s="7">
        <v>3.87</v>
      </c>
      <c r="R22" s="7">
        <v>5.21</v>
      </c>
      <c r="S22" s="7">
        <v>4.28</v>
      </c>
      <c r="T22" s="7">
        <v>-2.1800000000000002</v>
      </c>
      <c r="U22" s="7">
        <v>0.19</v>
      </c>
      <c r="V22" s="7">
        <v>1.31</v>
      </c>
      <c r="W22" s="7">
        <v>4.2699999999999996</v>
      </c>
      <c r="X22" s="7">
        <v>6.04</v>
      </c>
      <c r="Y22" s="7">
        <v>3.31</v>
      </c>
      <c r="Z22" s="7">
        <v>4.91</v>
      </c>
      <c r="AA22" s="7">
        <v>5.33</v>
      </c>
      <c r="AB22" s="7">
        <v>2.2400000000000002</v>
      </c>
      <c r="AC22" s="7">
        <v>1.56</v>
      </c>
      <c r="AD22" s="7">
        <v>0.59</v>
      </c>
      <c r="AE22" s="8">
        <v>0.06</v>
      </c>
      <c r="AF22" s="8">
        <v>-2.5499999999999998</v>
      </c>
      <c r="AG22" s="7">
        <v>-1.73</v>
      </c>
      <c r="AH22" s="7">
        <v>0.31</v>
      </c>
      <c r="AI22" s="7">
        <v>0.19</v>
      </c>
      <c r="AJ22" s="7">
        <v>0.06</v>
      </c>
      <c r="AK22" s="7">
        <v>-2.0699999999999998</v>
      </c>
      <c r="AL22" s="7">
        <v>-2.15</v>
      </c>
      <c r="AM22" s="7"/>
      <c r="AN22" s="7"/>
      <c r="AO22" s="7"/>
      <c r="AP22" s="7"/>
      <c r="AQ22" s="19"/>
      <c r="AR22" s="19"/>
      <c r="AS22" s="21">
        <v>-5.55</v>
      </c>
      <c r="AT22" s="19"/>
      <c r="AU22" s="20">
        <f>'[5]主要分析指标表（底稿）'!G29</f>
        <v>-5.55</v>
      </c>
    </row>
    <row r="23" spans="1:48" x14ac:dyDescent="0.3">
      <c r="A23" s="30" t="s">
        <v>52</v>
      </c>
      <c r="B23" s="9" t="s">
        <v>53</v>
      </c>
      <c r="C23" s="7">
        <v>-9.7899999999999991</v>
      </c>
      <c r="D23" s="7">
        <v>-7.79</v>
      </c>
      <c r="E23" s="7">
        <v>-0.26</v>
      </c>
      <c r="F23" s="7">
        <v>6.02</v>
      </c>
      <c r="G23" s="7">
        <v>-1.24</v>
      </c>
      <c r="H23" s="8">
        <v>-3.09</v>
      </c>
      <c r="I23" s="7">
        <v>-2.87</v>
      </c>
      <c r="J23" s="7">
        <v>1.1000000000000001</v>
      </c>
      <c r="K23" s="7">
        <v>-1.45</v>
      </c>
      <c r="L23" s="7">
        <v>3.2</v>
      </c>
      <c r="M23" s="7">
        <v>2.4700000000000002</v>
      </c>
      <c r="N23" s="7">
        <v>-0.59</v>
      </c>
      <c r="O23" s="7">
        <v>-0.79</v>
      </c>
      <c r="P23" s="7">
        <v>-0.33</v>
      </c>
      <c r="Q23" s="7">
        <v>0.22</v>
      </c>
      <c r="R23" s="7">
        <v>2.52</v>
      </c>
      <c r="S23" s="7">
        <v>3.99</v>
      </c>
      <c r="T23" s="7">
        <v>-8.14</v>
      </c>
      <c r="U23" s="7">
        <v>-0.3</v>
      </c>
      <c r="V23" s="7">
        <v>0.84</v>
      </c>
      <c r="W23" s="7">
        <v>3.28</v>
      </c>
      <c r="X23" s="7">
        <v>1.95</v>
      </c>
      <c r="Y23" s="7">
        <v>3.32</v>
      </c>
      <c r="Z23" s="7">
        <v>-0.43</v>
      </c>
      <c r="AA23" s="7">
        <v>1.17</v>
      </c>
      <c r="AB23" s="7">
        <v>0.86</v>
      </c>
      <c r="AC23" s="7">
        <v>2.83</v>
      </c>
      <c r="AD23" s="7">
        <v>2.59</v>
      </c>
      <c r="AE23" s="7">
        <v>4.53</v>
      </c>
      <c r="AF23" s="8">
        <v>-3.09</v>
      </c>
      <c r="AG23" s="7">
        <v>-4.71</v>
      </c>
      <c r="AH23" s="7">
        <f>([5]基础财务数据!AO5-[5]基础财务数据!$AM$5)/[5]基础财务数据!$AM$5*100</f>
        <v>-1.4622606489954237</v>
      </c>
      <c r="AI23" s="7">
        <f>([5]基础财务数据!AP5-[5]基础财务数据!$AM$5)/[5]基础财务数据!$AM$5*100</f>
        <v>-2.2491618147568602</v>
      </c>
      <c r="AJ23" s="7">
        <f>([5]基础财务数据!AQ5-[5]基础财务数据!$AM$5)/[5]基础财务数据!$AM$5*100</f>
        <v>-4.1252365640435418</v>
      </c>
      <c r="AK23" s="7">
        <f>([5]基础财务数据!AR5-[5]基础财务数据!$AM$5)/[5]基础财务数据!$AM$5*100</f>
        <v>-3.1190431490052841</v>
      </c>
      <c r="AL23" s="7">
        <f>([5]基础财务数据!AS5-[5]基础财务数据!$AM$5)/[5]基础财务数据!$AM$5*100</f>
        <v>-6.0261532734795233</v>
      </c>
      <c r="AM23" s="7">
        <f>([5]基础财务数据!AT5-[5]基础财务数据!$AM$5)/[5]基础财务数据!$AM$5*100</f>
        <v>-100</v>
      </c>
      <c r="AN23" s="7">
        <f>([5]基础财务数据!AU5-[5]基础财务数据!$AM$5)/[5]基础财务数据!$AM$5*100</f>
        <v>-100</v>
      </c>
      <c r="AO23" s="7">
        <f>([5]基础财务数据!AV5-[5]基础财务数据!$AM$5)/[5]基础财务数据!$AM$5*100</f>
        <v>-100</v>
      </c>
      <c r="AP23" s="7">
        <f>([5]基础财务数据!AW5-[5]基础财务数据!$AM$5)/[5]基础财务数据!$AM$5*100</f>
        <v>-100</v>
      </c>
      <c r="AQ23" s="7">
        <f>([5]基础财务数据!AX5-[5]基础财务数据!$AM$5)/[5]基础财务数据!$AM$5*100</f>
        <v>-100</v>
      </c>
      <c r="AR23" s="7">
        <f>([5]基础财务数据!AY5-[5]基础财务数据!$AM$5)/[5]基础财务数据!$AM$5*100</f>
        <v>-100</v>
      </c>
      <c r="AS23" s="8">
        <v>-12.05</v>
      </c>
      <c r="AT23" s="19"/>
      <c r="AU23" s="19">
        <f>'[5]主要分析指标表（底稿）'!G24</f>
        <v>-12.05</v>
      </c>
    </row>
    <row r="24" spans="1:48" x14ac:dyDescent="0.3">
      <c r="A24" s="30"/>
      <c r="B24" s="9" t="s">
        <v>54</v>
      </c>
      <c r="C24" s="7">
        <v>31.86</v>
      </c>
      <c r="D24" s="7">
        <v>-0.12</v>
      </c>
      <c r="E24" s="7">
        <v>-1.57</v>
      </c>
      <c r="F24" s="7">
        <v>-10.15</v>
      </c>
      <c r="G24" s="7">
        <v>56.43</v>
      </c>
      <c r="H24" s="8">
        <v>10.62</v>
      </c>
      <c r="I24" s="7">
        <v>17.23</v>
      </c>
      <c r="J24" s="7">
        <v>21.61</v>
      </c>
      <c r="K24" s="7">
        <v>35.659999999999997</v>
      </c>
      <c r="L24" s="7">
        <v>75.209999999999994</v>
      </c>
      <c r="M24" s="7">
        <v>102.6</v>
      </c>
      <c r="N24" s="7">
        <v>72.87</v>
      </c>
      <c r="O24" s="7">
        <v>101.06</v>
      </c>
      <c r="P24" s="7">
        <v>81.56</v>
      </c>
      <c r="Q24" s="7">
        <v>69.55</v>
      </c>
      <c r="R24" s="7">
        <v>83.34</v>
      </c>
      <c r="S24" s="7">
        <v>52.29</v>
      </c>
      <c r="T24" s="7">
        <v>-39.74</v>
      </c>
      <c r="U24" s="7">
        <v>56.42</v>
      </c>
      <c r="V24" s="7">
        <v>62.15</v>
      </c>
      <c r="W24" s="7">
        <v>63.83</v>
      </c>
      <c r="X24" s="7">
        <v>14.72</v>
      </c>
      <c r="Y24" s="7">
        <v>-15.59</v>
      </c>
      <c r="Z24" s="7">
        <v>10.37</v>
      </c>
      <c r="AA24" s="7">
        <v>18.64</v>
      </c>
      <c r="AB24" s="7">
        <v>-8.81</v>
      </c>
      <c r="AC24" s="7">
        <v>-14.8</v>
      </c>
      <c r="AD24" s="7">
        <v>-31.52</v>
      </c>
      <c r="AE24" s="7">
        <v>-14.99</v>
      </c>
      <c r="AF24" s="8">
        <v>135.36000000000001</v>
      </c>
      <c r="AG24" s="7">
        <f>([5]基础财务数据!AN20-[5]基础财务数据!AA20)/[5]基础财务数据!AA20*100</f>
        <v>-25.447485894782162</v>
      </c>
      <c r="AH24" s="7">
        <f>([5]基础财务数据!AO20-[5]基础财务数据!AB20)/[5]基础财务数据!AB20*100</f>
        <v>-16.418481625594914</v>
      </c>
      <c r="AI24" s="7">
        <f>([5]基础财务数据!AP20-[5]基础财务数据!AC20)/[5]基础财务数据!AC20*100</f>
        <v>-25.950111953505996</v>
      </c>
      <c r="AJ24" s="7">
        <f>([5]基础财务数据!AQ20-[5]基础财务数据!AD20)/[5]基础财务数据!AD20*100</f>
        <v>-19.342804769598938</v>
      </c>
      <c r="AK24" s="7">
        <f>([5]基础财务数据!AR20-[5]基础财务数据!AE20)/[5]基础财务数据!AE20*100</f>
        <v>-12.975486312193379</v>
      </c>
      <c r="AL24" s="7">
        <f>([5]基础财务数据!AS20-[5]基础财务数据!AF20)/[5]基础财务数据!AF20*100</f>
        <v>-44.428671112767994</v>
      </c>
      <c r="AM24" s="7">
        <f>([5]基础财务数据!AT20-[5]基础财务数据!AG20)/[5]基础财务数据!AG20*100</f>
        <v>-100</v>
      </c>
      <c r="AN24" s="7">
        <f>([5]基础财务数据!AU20-[5]基础财务数据!AH20)/[5]基础财务数据!AH20*100</f>
        <v>-100</v>
      </c>
      <c r="AO24" s="7">
        <f>([5]基础财务数据!AV20-[5]基础财务数据!AI20)/[5]基础财务数据!AI20*100</f>
        <v>-100</v>
      </c>
      <c r="AP24" s="7">
        <f>([5]基础财务数据!AW20-[5]基础财务数据!AJ20)/[5]基础财务数据!AJ20*100</f>
        <v>-100</v>
      </c>
      <c r="AQ24" s="7">
        <f>([5]基础财务数据!AX20-[5]基础财务数据!AK20)/[5]基础财务数据!AK20*100</f>
        <v>-100</v>
      </c>
      <c r="AR24" s="7">
        <f>([5]基础财务数据!AY20-[5]基础财务数据!AL20)/[5]基础财务数据!AL20*100</f>
        <v>-100</v>
      </c>
      <c r="AS24" s="8">
        <v>-24.54</v>
      </c>
      <c r="AT24" s="19"/>
      <c r="AU24" s="19">
        <f>'[5]主要分析指标表（底稿）'!G20</f>
        <v>-24.54</v>
      </c>
    </row>
    <row r="25" spans="1:48" x14ac:dyDescent="0.3">
      <c r="A25" s="30"/>
      <c r="B25" s="9" t="s">
        <v>55</v>
      </c>
      <c r="C25" s="7">
        <v>111.02</v>
      </c>
      <c r="D25" s="7">
        <v>-74.510000000000005</v>
      </c>
      <c r="E25" s="7">
        <v>486.02</v>
      </c>
      <c r="F25" s="7">
        <v>-418.21</v>
      </c>
      <c r="G25" s="7">
        <v>477.82</v>
      </c>
      <c r="H25" s="8">
        <v>-10</v>
      </c>
      <c r="I25" s="7">
        <v>111.4</v>
      </c>
      <c r="J25" s="7">
        <v>133.9</v>
      </c>
      <c r="K25" s="7">
        <v>274.29000000000002</v>
      </c>
      <c r="L25" s="7">
        <v>742.57</v>
      </c>
      <c r="M25" s="7">
        <v>555.83000000000004</v>
      </c>
      <c r="N25" s="7">
        <v>515.53</v>
      </c>
      <c r="O25" s="7">
        <v>449.22</v>
      </c>
      <c r="P25" s="7">
        <v>473.43</v>
      </c>
      <c r="Q25" s="7">
        <v>1990.4</v>
      </c>
      <c r="R25" s="7">
        <v>1766.06</v>
      </c>
      <c r="S25" s="7">
        <v>2447.48</v>
      </c>
      <c r="T25" s="7">
        <v>-29.25</v>
      </c>
      <c r="U25" s="7">
        <v>58.53</v>
      </c>
      <c r="V25" s="7">
        <v>289.52</v>
      </c>
      <c r="W25" s="7">
        <v>170.19</v>
      </c>
      <c r="X25" s="7">
        <v>108.6</v>
      </c>
      <c r="Y25" s="7">
        <v>-7.41</v>
      </c>
      <c r="Z25" s="7">
        <v>14.71</v>
      </c>
      <c r="AA25" s="7">
        <v>52.27</v>
      </c>
      <c r="AB25" s="7">
        <v>-15.73</v>
      </c>
      <c r="AC25" s="7">
        <v>-63.75</v>
      </c>
      <c r="AD25" s="7">
        <v>-89.2</v>
      </c>
      <c r="AE25" s="7">
        <v>-98.56</v>
      </c>
      <c r="AF25" s="8">
        <v>6.55</v>
      </c>
      <c r="AG25" s="7">
        <f>([5]基础财务数据!AN66-[5]基础财务数据!AA66)/[5]基础财务数据!AA66*100</f>
        <v>-890.89324157580006</v>
      </c>
      <c r="AH25" s="7">
        <f>([5]基础财务数据!AO66-[5]基础财务数据!AB66)/[5]基础财务数据!AB66*100</f>
        <v>-80.935854381102658</v>
      </c>
      <c r="AI25" s="7">
        <f>([5]基础财务数据!AP66-[5]基础财务数据!AC66)/[5]基础财务数据!AC66*100</f>
        <v>-95.582935453422692</v>
      </c>
      <c r="AJ25" s="7">
        <f>([5]基础财务数据!AQ66-[5]基础财务数据!AD66)/[5]基础财务数据!AD66*100</f>
        <v>-98.892402719099621</v>
      </c>
      <c r="AK25" s="7">
        <f>([5]基础财务数据!AR66-[5]基础财务数据!AE66)/[5]基础财务数据!AE66*100</f>
        <v>-159.99276646979291</v>
      </c>
      <c r="AL25" s="7">
        <f>([5]基础财务数据!AS66-[5]基础财务数据!AF66)/[5]基础财务数据!AF66*100</f>
        <v>-148.68606500539221</v>
      </c>
      <c r="AM25" s="7">
        <f>([5]基础财务数据!AT66-[5]基础财务数据!AG66)/[5]基础财务数据!AG66*100</f>
        <v>-100</v>
      </c>
      <c r="AN25" s="7">
        <f>([5]基础财务数据!AU66-[5]基础财务数据!AH66)/[5]基础财务数据!AH66*100</f>
        <v>-100</v>
      </c>
      <c r="AO25" s="7">
        <f>([5]基础财务数据!AV66-[5]基础财务数据!AI66)/[5]基础财务数据!AI66*100</f>
        <v>-100</v>
      </c>
      <c r="AP25" s="7">
        <f>([5]基础财务数据!AW66-[5]基础财务数据!AJ66)/[5]基础财务数据!AJ66*100</f>
        <v>-100</v>
      </c>
      <c r="AQ25" s="7">
        <f>([5]基础财务数据!AX66-[5]基础财务数据!AK66)/[5]基础财务数据!AK66*100</f>
        <v>-100</v>
      </c>
      <c r="AR25" s="7">
        <f>([5]基础财务数据!AY66-[5]基础财务数据!AL66)/[5]基础财务数据!AL66*100</f>
        <v>-100</v>
      </c>
      <c r="AS25" s="8">
        <v>-126.75</v>
      </c>
      <c r="AT25" s="19"/>
      <c r="AU25" s="19">
        <f>'[5]主要分析指标表（底稿）'!G21</f>
        <v>-126.75</v>
      </c>
    </row>
    <row r="26" spans="1:48" x14ac:dyDescent="0.3">
      <c r="A26" s="30"/>
      <c r="B26" s="9" t="s">
        <v>56</v>
      </c>
      <c r="C26" s="7">
        <v>136.15</v>
      </c>
      <c r="D26" s="7">
        <v>113.75</v>
      </c>
      <c r="E26" s="7">
        <v>100.88</v>
      </c>
      <c r="F26" s="7">
        <v>89.73</v>
      </c>
      <c r="G26" s="7">
        <v>140.78</v>
      </c>
      <c r="H26" s="8">
        <v>120.52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8"/>
      <c r="AT26" s="19"/>
      <c r="AU26" s="20"/>
    </row>
    <row r="27" spans="1:48" x14ac:dyDescent="0.3">
      <c r="A27" s="30" t="s">
        <v>57</v>
      </c>
      <c r="B27" s="9" t="s">
        <v>58</v>
      </c>
      <c r="C27" s="7">
        <v>3.77</v>
      </c>
      <c r="D27" s="7">
        <v>4.62</v>
      </c>
      <c r="E27" s="7">
        <v>3.19</v>
      </c>
      <c r="F27" s="7">
        <v>-1.45</v>
      </c>
      <c r="G27" s="7">
        <v>16.63</v>
      </c>
      <c r="H27" s="8">
        <v>15.51</v>
      </c>
      <c r="I27" s="7">
        <v>0.05</v>
      </c>
      <c r="J27" s="7">
        <v>0.4</v>
      </c>
      <c r="K27" s="7">
        <v>0.89</v>
      </c>
      <c r="L27" s="7">
        <v>1.62</v>
      </c>
      <c r="M27" s="7">
        <v>2</v>
      </c>
      <c r="N27" s="7">
        <v>1.98</v>
      </c>
      <c r="O27" s="7">
        <v>1.8</v>
      </c>
      <c r="P27" s="7">
        <v>1.68</v>
      </c>
      <c r="Q27" s="7">
        <v>2.19</v>
      </c>
      <c r="R27" s="7">
        <v>2.98</v>
      </c>
      <c r="S27" s="7">
        <v>2.08</v>
      </c>
      <c r="T27" s="7">
        <v>-1.03</v>
      </c>
      <c r="U27" s="7">
        <v>0.21</v>
      </c>
      <c r="V27" s="7">
        <v>0.89</v>
      </c>
      <c r="W27" s="7">
        <v>2.59</v>
      </c>
      <c r="X27" s="7">
        <v>3.11</v>
      </c>
      <c r="Y27" s="7">
        <v>1.75</v>
      </c>
      <c r="Z27" s="7">
        <v>2.46</v>
      </c>
      <c r="AA27" s="7">
        <v>2.5499999999999998</v>
      </c>
      <c r="AB27" s="7">
        <v>1.37</v>
      </c>
      <c r="AC27" s="7">
        <v>0.94</v>
      </c>
      <c r="AD27" s="7">
        <v>0.44</v>
      </c>
      <c r="AE27" s="7">
        <v>0.28999999999999998</v>
      </c>
      <c r="AF27" s="8">
        <v>-1.0900000000000001</v>
      </c>
      <c r="AG27" s="7">
        <f>[5]基础财务数据!AN60</f>
        <v>-0.73</v>
      </c>
      <c r="AH27" s="7">
        <f>[5]基础财务数据!AO60</f>
        <v>0.15</v>
      </c>
      <c r="AI27" s="7">
        <f>[5]基础财务数据!AP60</f>
        <v>0.11</v>
      </c>
      <c r="AJ27" s="7">
        <f>[5]基础财务数据!AQ60</f>
        <v>0.21</v>
      </c>
      <c r="AK27" s="7">
        <f>[5]基础财务数据!AR60</f>
        <v>-0.87</v>
      </c>
      <c r="AL27" s="7">
        <f>[5]基础财务数据!AS60</f>
        <v>-0.94</v>
      </c>
      <c r="AM27" s="7">
        <f>[5]基础财务数据!AT60</f>
        <v>2.08</v>
      </c>
      <c r="AN27" s="7">
        <f>[5]基础财务数据!AU60</f>
        <v>0</v>
      </c>
      <c r="AO27" s="7">
        <f>[5]基础财务数据!AV60</f>
        <v>0</v>
      </c>
      <c r="AP27" s="7">
        <f>[5]基础财务数据!AW60</f>
        <v>0</v>
      </c>
      <c r="AQ27" s="7">
        <f>[5]基础财务数据!AX60</f>
        <v>0</v>
      </c>
      <c r="AR27" s="7">
        <f>[5]基础财务数据!AY60</f>
        <v>0</v>
      </c>
      <c r="AS27" s="8">
        <v>-2.1800000000000002</v>
      </c>
      <c r="AT27" s="19">
        <f>([5]基础财务数据!AO31+[5]基础财务数据!AO46)/10000</f>
        <v>0.14510200000000001</v>
      </c>
      <c r="AU27" s="19">
        <f>([5]基础财务数据!BC31+[5]基础财务数据!BC46)/10000</f>
        <v>-2.1765509999999999</v>
      </c>
      <c r="AV27" s="22"/>
    </row>
    <row r="28" spans="1:48" x14ac:dyDescent="0.3">
      <c r="A28" s="30"/>
      <c r="B28" s="9" t="s">
        <v>59</v>
      </c>
      <c r="C28" s="7">
        <v>1.05</v>
      </c>
      <c r="D28" s="7">
        <v>-0.31</v>
      </c>
      <c r="E28" s="7">
        <v>-1.24</v>
      </c>
      <c r="F28" s="7">
        <v>-3.95</v>
      </c>
      <c r="G28" s="7">
        <v>10.25</v>
      </c>
      <c r="H28" s="8">
        <v>8.82</v>
      </c>
      <c r="I28" s="7">
        <v>-1.22</v>
      </c>
      <c r="J28" s="7">
        <v>-1.06</v>
      </c>
      <c r="K28" s="7">
        <v>-0.31</v>
      </c>
      <c r="L28" s="7">
        <v>1</v>
      </c>
      <c r="M28" s="7">
        <v>2.61</v>
      </c>
      <c r="N28" s="7">
        <v>4.32</v>
      </c>
      <c r="O28" s="7">
        <f>'[6]eva roce(底稿）'!B5/100000000</f>
        <v>11.8424270556</v>
      </c>
      <c r="P28" s="7">
        <v>5.89</v>
      </c>
      <c r="Q28" s="7">
        <v>7.65</v>
      </c>
      <c r="R28" s="7">
        <v>9.99</v>
      </c>
      <c r="S28" s="7">
        <v>11.81</v>
      </c>
      <c r="T28" s="7">
        <v>10.16</v>
      </c>
      <c r="U28" s="7">
        <v>-1.75</v>
      </c>
      <c r="V28" s="7">
        <v>-1.1299999999999999</v>
      </c>
      <c r="W28" s="7">
        <v>0.46</v>
      </c>
      <c r="X28" s="7">
        <v>2.72</v>
      </c>
      <c r="Y28" s="7">
        <v>4.1900000000000004</v>
      </c>
      <c r="Z28" s="7">
        <v>5.79</v>
      </c>
      <c r="AA28" s="7">
        <v>7.69</v>
      </c>
      <c r="AB28" s="7">
        <v>8.65</v>
      </c>
      <c r="AC28" s="7">
        <v>9.26</v>
      </c>
      <c r="AD28" s="7">
        <v>9.58</v>
      </c>
      <c r="AE28" s="7">
        <v>9.6999999999999993</v>
      </c>
      <c r="AF28" s="8">
        <v>8.82</v>
      </c>
      <c r="AG28" s="7">
        <v>-2.95</v>
      </c>
      <c r="AH28" s="7">
        <v>-2.0699999999999998</v>
      </c>
      <c r="AI28" s="7">
        <v>-2.11</v>
      </c>
      <c r="AJ28" s="7">
        <v>-2</v>
      </c>
      <c r="AK28" s="8">
        <v>-2.84</v>
      </c>
      <c r="AL28" s="7">
        <v>-2.89</v>
      </c>
      <c r="AM28" s="7"/>
      <c r="AN28" s="7"/>
      <c r="AO28" s="7"/>
      <c r="AP28" s="7"/>
      <c r="AQ28" s="7"/>
      <c r="AR28" s="7"/>
      <c r="AS28" s="8">
        <v>-2.95</v>
      </c>
      <c r="AT28" s="19"/>
      <c r="AU28" s="20">
        <f>'[5]主要分析指标表（底稿）'!G28/10000/10000</f>
        <v>-2.9532088163000001</v>
      </c>
    </row>
    <row r="29" spans="1:48" x14ac:dyDescent="0.3">
      <c r="A29" s="30"/>
      <c r="B29" s="9" t="s">
        <v>60</v>
      </c>
      <c r="C29" s="11">
        <v>9847</v>
      </c>
      <c r="D29" s="11">
        <v>5724</v>
      </c>
      <c r="E29" s="11">
        <v>7796</v>
      </c>
      <c r="F29" s="11">
        <v>15122</v>
      </c>
      <c r="G29" s="11">
        <v>12086</v>
      </c>
      <c r="H29" s="12">
        <v>12557</v>
      </c>
      <c r="I29" s="11">
        <v>841</v>
      </c>
      <c r="J29" s="11">
        <v>709</v>
      </c>
      <c r="K29" s="11">
        <v>1015</v>
      </c>
      <c r="L29" s="11">
        <v>1092</v>
      </c>
      <c r="M29" s="11">
        <v>1420</v>
      </c>
      <c r="N29" s="11">
        <v>1501</v>
      </c>
      <c r="O29" s="11">
        <v>1334</v>
      </c>
      <c r="P29" s="11">
        <v>1255</v>
      </c>
      <c r="Q29" s="11">
        <v>904</v>
      </c>
      <c r="R29" s="11">
        <v>1058</v>
      </c>
      <c r="S29" s="11">
        <v>675</v>
      </c>
      <c r="T29" s="11">
        <v>283</v>
      </c>
      <c r="U29" s="11">
        <v>676</v>
      </c>
      <c r="V29" s="11">
        <v>731</v>
      </c>
      <c r="W29" s="11">
        <v>798</v>
      </c>
      <c r="X29" s="11">
        <v>669</v>
      </c>
      <c r="Y29" s="11">
        <v>663</v>
      </c>
      <c r="Z29" s="11">
        <v>2171</v>
      </c>
      <c r="AA29" s="11">
        <v>2987</v>
      </c>
      <c r="AB29" s="11">
        <v>951</v>
      </c>
      <c r="AC29" s="11">
        <v>761</v>
      </c>
      <c r="AD29" s="11">
        <v>698</v>
      </c>
      <c r="AE29" s="11">
        <v>975</v>
      </c>
      <c r="AF29" s="12">
        <v>477</v>
      </c>
      <c r="AG29" s="11">
        <v>338</v>
      </c>
      <c r="AH29" s="11">
        <v>526</v>
      </c>
      <c r="AI29" s="11">
        <v>756</v>
      </c>
      <c r="AJ29" s="11">
        <v>599</v>
      </c>
      <c r="AK29" s="12">
        <v>758</v>
      </c>
      <c r="AL29" s="11">
        <v>522</v>
      </c>
      <c r="AM29" s="11"/>
      <c r="AN29" s="11"/>
      <c r="AO29" s="11"/>
      <c r="AP29" s="11"/>
      <c r="AQ29" s="11"/>
      <c r="AR29" s="11"/>
      <c r="AS29" s="12">
        <v>3499</v>
      </c>
      <c r="AT29" s="23"/>
      <c r="AU29" s="23"/>
    </row>
    <row r="30" spans="1:48" x14ac:dyDescent="0.3">
      <c r="A30" s="30"/>
      <c r="B30" s="9" t="s">
        <v>61</v>
      </c>
      <c r="C30" s="7">
        <v>4</v>
      </c>
      <c r="D30" s="7">
        <v>4.91</v>
      </c>
      <c r="E30" s="7">
        <v>4.5199999999999996</v>
      </c>
      <c r="F30" s="7">
        <v>4.67</v>
      </c>
      <c r="G30" s="7">
        <v>5.01</v>
      </c>
      <c r="H30" s="8">
        <v>4.18</v>
      </c>
      <c r="I30" s="7">
        <v>4.71</v>
      </c>
      <c r="J30" s="7">
        <v>5.39</v>
      </c>
      <c r="K30" s="7">
        <v>4.41</v>
      </c>
      <c r="L30" s="7">
        <v>4.54</v>
      </c>
      <c r="M30" s="7">
        <v>4.66</v>
      </c>
      <c r="N30" s="7">
        <v>4.79</v>
      </c>
      <c r="O30" s="7">
        <v>4.8499999999999996</v>
      </c>
      <c r="P30" s="7">
        <v>4.5199999999999996</v>
      </c>
      <c r="Q30" s="7">
        <v>4.07</v>
      </c>
      <c r="R30" s="7">
        <v>4.63</v>
      </c>
      <c r="S30" s="7">
        <v>5.44</v>
      </c>
      <c r="T30" s="7">
        <v>5.01</v>
      </c>
      <c r="U30" s="7">
        <v>4.33</v>
      </c>
      <c r="V30" s="7">
        <v>4.3499999999999996</v>
      </c>
      <c r="W30" s="7">
        <v>4.45</v>
      </c>
      <c r="X30" s="7">
        <v>4.63</v>
      </c>
      <c r="Y30" s="7">
        <v>5.16</v>
      </c>
      <c r="Z30" s="7">
        <v>4.8499999999999996</v>
      </c>
      <c r="AA30" s="7">
        <v>5.72</v>
      </c>
      <c r="AB30" s="7">
        <v>5.57</v>
      </c>
      <c r="AC30" s="7">
        <v>5.26</v>
      </c>
      <c r="AD30" s="7">
        <v>5.94</v>
      </c>
      <c r="AE30" s="7">
        <v>6.05</v>
      </c>
      <c r="AF30" s="8">
        <v>4.18</v>
      </c>
      <c r="AG30" s="7"/>
      <c r="AH30" s="7">
        <v>5.82</v>
      </c>
      <c r="AI30" s="7">
        <v>6.08</v>
      </c>
      <c r="AJ30" s="8">
        <v>5.97</v>
      </c>
      <c r="AK30" s="8">
        <v>6.07</v>
      </c>
      <c r="AL30" s="8">
        <v>5.65</v>
      </c>
      <c r="AM30" s="7"/>
      <c r="AN30" s="7"/>
      <c r="AO30" s="7"/>
      <c r="AP30" s="7"/>
      <c r="AQ30" s="7"/>
      <c r="AR30" s="7"/>
      <c r="AS30" s="19">
        <v>5.65</v>
      </c>
      <c r="AT30" s="19">
        <f>('[5]资产负债、利润（底稿）'!C11+'[5]资产负债、利润（底稿）'!C17)/10000/10000</f>
        <v>5.6516436098999998</v>
      </c>
      <c r="AU30" s="19">
        <f>AT30</f>
        <v>5.6516436098999998</v>
      </c>
    </row>
    <row r="31" spans="1:48" x14ac:dyDescent="0.3">
      <c r="A31" s="30"/>
      <c r="B31" s="9" t="s">
        <v>62</v>
      </c>
      <c r="C31" s="7">
        <v>85.11</v>
      </c>
      <c r="D31" s="7">
        <v>78.69</v>
      </c>
      <c r="E31" s="7">
        <v>69.97</v>
      </c>
      <c r="F31" s="7">
        <v>53.46</v>
      </c>
      <c r="G31" s="7">
        <v>76.459999999999994</v>
      </c>
      <c r="H31" s="8">
        <v>49.85</v>
      </c>
      <c r="I31" s="7">
        <v>65.66</v>
      </c>
      <c r="J31" s="7">
        <v>68</v>
      </c>
      <c r="K31" s="7">
        <v>63.84</v>
      </c>
      <c r="L31" s="7">
        <v>55.53</v>
      </c>
      <c r="M31" s="7">
        <v>49.4</v>
      </c>
      <c r="N31" s="7">
        <v>57.7</v>
      </c>
      <c r="O31" s="7">
        <v>55.07</v>
      </c>
      <c r="P31" s="7">
        <v>53.75</v>
      </c>
      <c r="Q31" s="7">
        <v>50.98</v>
      </c>
      <c r="R31" s="7">
        <v>48.84</v>
      </c>
      <c r="S31" s="7">
        <v>42.55</v>
      </c>
      <c r="T31" s="7">
        <v>76.459999999999994</v>
      </c>
      <c r="U31" s="7">
        <v>67.44</v>
      </c>
      <c r="V31" s="7">
        <v>62.47</v>
      </c>
      <c r="W31" s="7">
        <v>51.59</v>
      </c>
      <c r="X31" s="7">
        <v>57.9</v>
      </c>
      <c r="Y31" s="7">
        <v>55.82</v>
      </c>
      <c r="Z31" s="7">
        <v>45.32</v>
      </c>
      <c r="AA31" s="7">
        <v>40.65</v>
      </c>
      <c r="AB31" s="7">
        <v>46.84</v>
      </c>
      <c r="AC31" s="7">
        <v>40.71</v>
      </c>
      <c r="AD31" s="7">
        <v>47.47</v>
      </c>
      <c r="AE31" s="7">
        <v>48.35</v>
      </c>
      <c r="AF31" s="8">
        <v>49.85</v>
      </c>
      <c r="AG31" s="7">
        <v>0</v>
      </c>
      <c r="AH31" s="7">
        <v>72.45</v>
      </c>
      <c r="AI31" s="7">
        <v>76.89</v>
      </c>
      <c r="AJ31" s="8">
        <v>85.28</v>
      </c>
      <c r="AK31" s="8">
        <v>81.52</v>
      </c>
      <c r="AL31" s="8">
        <v>83.99</v>
      </c>
      <c r="AM31" s="7"/>
      <c r="AN31" s="7"/>
      <c r="AO31" s="7"/>
      <c r="AP31" s="7"/>
      <c r="AQ31" s="7"/>
      <c r="AR31" s="7"/>
      <c r="AS31" s="19">
        <v>67.38</v>
      </c>
      <c r="AT31" s="19">
        <f>('[5]资产负债、利润（底稿）'!C11+'[5]资产负债、利润（底稿）'!C17)/'[5]资产负债、利润（底稿）'!C22*100</f>
        <v>83.988765333270891</v>
      </c>
      <c r="AU31" s="19">
        <f>AU30/'[5]主要分析指标表（底稿）'!O44*1000000</f>
        <v>67.39803805796501</v>
      </c>
    </row>
    <row r="32" spans="1:48" x14ac:dyDescent="0.3">
      <c r="A32" s="30"/>
      <c r="B32" s="9" t="s">
        <v>63</v>
      </c>
      <c r="C32" s="7">
        <v>12.15</v>
      </c>
      <c r="D32" s="7">
        <v>17.41</v>
      </c>
      <c r="E32" s="7">
        <v>17.989999999999998</v>
      </c>
      <c r="F32" s="7">
        <v>-47.39</v>
      </c>
      <c r="G32" s="7">
        <v>193.2</v>
      </c>
      <c r="H32" s="8">
        <v>162.35</v>
      </c>
      <c r="I32" s="7">
        <v>2.83</v>
      </c>
      <c r="J32" s="7">
        <v>35.72</v>
      </c>
      <c r="K32" s="7">
        <v>104.32</v>
      </c>
      <c r="L32" s="7">
        <v>114.34</v>
      </c>
      <c r="M32" s="7">
        <v>97.96</v>
      </c>
      <c r="N32" s="7">
        <v>259.41000000000003</v>
      </c>
      <c r="O32" s="7">
        <v>219.89</v>
      </c>
      <c r="P32" s="7">
        <v>155.13</v>
      </c>
      <c r="Q32" s="7">
        <v>377.59</v>
      </c>
      <c r="R32" s="7">
        <v>355.05</v>
      </c>
      <c r="S32" s="7">
        <v>-346.51</v>
      </c>
      <c r="T32" s="7">
        <v>394.35</v>
      </c>
      <c r="U32" s="7">
        <v>10.39</v>
      </c>
      <c r="V32" s="7">
        <v>66.62</v>
      </c>
      <c r="W32" s="7">
        <v>114.45</v>
      </c>
      <c r="X32" s="7">
        <v>434.35</v>
      </c>
      <c r="Y32" s="7">
        <v>294.93</v>
      </c>
      <c r="Z32" s="7">
        <v>437.97</v>
      </c>
      <c r="AA32" s="7">
        <v>391.05</v>
      </c>
      <c r="AB32" s="7">
        <v>152.94</v>
      </c>
      <c r="AC32" s="7">
        <v>102.11</v>
      </c>
      <c r="AD32" s="7">
        <v>110.37</v>
      </c>
      <c r="AE32" s="7">
        <v>45.55</v>
      </c>
      <c r="AF32" s="8">
        <v>-1086.6600000000001</v>
      </c>
      <c r="AG32" s="7">
        <f>[5]基础财务数据!AN46*10000/('[5]劳动生产率（底稿）'!D20-'[5]劳动生产率（底稿）'!C20)*100</f>
        <v>-27.964840821537678</v>
      </c>
      <c r="AH32" s="7">
        <v>57.86</v>
      </c>
      <c r="AI32" s="7">
        <v>18.2</v>
      </c>
      <c r="AJ32" s="8">
        <v>3.67</v>
      </c>
      <c r="AK32" s="8">
        <v>-128.99</v>
      </c>
      <c r="AL32" s="8">
        <v>-143.76</v>
      </c>
      <c r="AM32" s="7"/>
      <c r="AN32" s="7"/>
      <c r="AO32" s="7"/>
      <c r="AP32" s="7"/>
      <c r="AQ32" s="7"/>
      <c r="AR32" s="7"/>
      <c r="AS32" s="19">
        <v>-143.76</v>
      </c>
      <c r="AT32" s="19">
        <f>'[5]资产负债、利润（底稿）'!C84/'[5]劳动生产率（底稿）'!C20*100</f>
        <v>-143.76453406848302</v>
      </c>
      <c r="AU32" s="19">
        <f>'[5]资产负债、利润（底稿）'!C84/'[5]劳动生产率（底稿）'!C20*100</f>
        <v>-143.76453406848302</v>
      </c>
    </row>
    <row r="34" spans="33:34" x14ac:dyDescent="0.3">
      <c r="AG34" s="2"/>
      <c r="AH34" s="2"/>
    </row>
  </sheetData>
  <mergeCells count="19">
    <mergeCell ref="E3:E4"/>
    <mergeCell ref="F3:F4"/>
    <mergeCell ref="G3:G4"/>
    <mergeCell ref="A12:A13"/>
    <mergeCell ref="A5:A11"/>
    <mergeCell ref="B3:B4"/>
    <mergeCell ref="A23:A26"/>
    <mergeCell ref="C3:C4"/>
    <mergeCell ref="D3:D4"/>
    <mergeCell ref="A1:T1"/>
    <mergeCell ref="I3:T3"/>
    <mergeCell ref="U3:AF3"/>
    <mergeCell ref="AG3:AS3"/>
    <mergeCell ref="H3:H4"/>
    <mergeCell ref="A27:A32"/>
    <mergeCell ref="A3:A4"/>
    <mergeCell ref="A19:A22"/>
    <mergeCell ref="A16:A18"/>
    <mergeCell ref="A14:A15"/>
  </mergeCells>
  <phoneticPr fontId="27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主要财务指标（报表数）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王维彤</dc:creator>
  <cp:lastModifiedBy>Lingbo Zeng</cp:lastModifiedBy>
  <dcterms:created xsi:type="dcterms:W3CDTF">2023-08-09T05:04:53Z</dcterms:created>
  <dcterms:modified xsi:type="dcterms:W3CDTF">2026-05-31T01:25:14Z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28B771CEF11B450084998D9FE07C76C3</vt:lpwstr>
  </property>
  <property fmtid="{D5CDD505-2E9C-101B-9397-08002B2CF9AE}" pid="3" name="KSOProductBuildVer">
    <vt:lpwstr>2052-11.8.2.11718</vt:lpwstr>
  </property>
</Properties>
</file>